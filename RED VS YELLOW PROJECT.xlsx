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ocuments\Work\"/>
    </mc:Choice>
  </mc:AlternateContent>
  <xr:revisionPtr revIDLastSave="0" documentId="8_{BA834E3F-59D5-407E-BFB2-A44E303D8C39}" xr6:coauthVersionLast="47" xr6:coauthVersionMax="47" xr10:uidLastSave="{00000000-0000-0000-0000-000000000000}"/>
  <bookViews>
    <workbookView xWindow="-120" yWindow="-120" windowWidth="20730" windowHeight="11160" firstSheet="1" activeTab="7" xr2:uid="{00000000-000D-0000-FFFF-FFFF00000000}"/>
  </bookViews>
  <sheets>
    <sheet name="PIVOT 1" sheetId="5" r:id="rId1"/>
    <sheet name="PIVOT 2" sheetId="6" r:id="rId2"/>
    <sheet name="PIVOT 3" sheetId="7" r:id="rId3"/>
    <sheet name="PIVOT 4" sheetId="8" r:id="rId4"/>
    <sheet name="PIVOT 5" sheetId="9" r:id="rId5"/>
    <sheet name="PIVOT 6" sheetId="10" r:id="rId6"/>
    <sheet name="DASHBOARD" sheetId="4" r:id="rId7"/>
    <sheet name="RED VS YELLOW" sheetId="1" r:id="rId8"/>
  </sheets>
  <calcPr calcId="191029"/>
  <pivotCaches>
    <pivotCache cacheId="0"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9" i="1" l="1"/>
  <c r="A22" i="1"/>
  <c r="L3" i="1"/>
  <c r="L4" i="1"/>
  <c r="L5" i="1"/>
  <c r="L6" i="1"/>
  <c r="L7" i="1"/>
  <c r="L8" i="1"/>
  <c r="L9" i="1"/>
  <c r="L10" i="1"/>
  <c r="L11" i="1"/>
  <c r="L12" i="1"/>
  <c r="L13" i="1"/>
  <c r="L2" i="1"/>
  <c r="I12" i="1"/>
  <c r="J12" i="1" s="1"/>
  <c r="I13" i="1"/>
  <c r="K13" i="1" s="1"/>
  <c r="I3" i="1"/>
  <c r="J3" i="1" s="1"/>
  <c r="I4" i="1"/>
  <c r="J4" i="1" s="1"/>
  <c r="I5" i="1"/>
  <c r="K5" i="1" s="1"/>
  <c r="I6" i="1"/>
  <c r="K6" i="1" s="1"/>
  <c r="I7" i="1"/>
  <c r="J7" i="1" s="1"/>
  <c r="I8" i="1"/>
  <c r="J8" i="1" s="1"/>
  <c r="I9" i="1"/>
  <c r="K9" i="1" s="1"/>
  <c r="I10" i="1"/>
  <c r="K10" i="1" s="1"/>
  <c r="I11" i="1"/>
  <c r="J11" i="1" s="1"/>
  <c r="I2" i="1"/>
  <c r="K2" i="1" s="1"/>
  <c r="J10" i="1" l="1"/>
  <c r="J6" i="1"/>
  <c r="J13" i="1"/>
  <c r="K12" i="1"/>
  <c r="K8" i="1"/>
  <c r="K4" i="1"/>
  <c r="J9" i="1"/>
  <c r="J5" i="1"/>
  <c r="K11" i="1"/>
  <c r="K7" i="1"/>
  <c r="K3" i="1"/>
  <c r="J2" i="1"/>
</calcChain>
</file>

<file path=xl/sharedStrings.xml><?xml version="1.0" encoding="utf-8"?>
<sst xmlns="http://schemas.openxmlformats.org/spreadsheetml/2006/main" count="167" uniqueCount="62">
  <si>
    <t>Timestamp</t>
  </si>
  <si>
    <t>Username</t>
  </si>
  <si>
    <t>What's your primary network provider</t>
  </si>
  <si>
    <t>How much do you spend on data monthly?</t>
  </si>
  <si>
    <t>How often do you experience network issues?</t>
  </si>
  <si>
    <t>What network do you believe is most reliable in your area?</t>
  </si>
  <si>
    <t>How likely are you to switch allegiances?</t>
  </si>
  <si>
    <t>2026/04/25 2:06:44 PM GMT+1</t>
  </si>
  <si>
    <t>koladefas02@gmail.com</t>
  </si>
  <si>
    <t>Airtel</t>
  </si>
  <si>
    <t>11,000 - 15,000</t>
  </si>
  <si>
    <t>AlwaysðŸ˜¤</t>
  </si>
  <si>
    <t>Mtn</t>
  </si>
  <si>
    <t>Not Likely</t>
  </si>
  <si>
    <t>2026/04/29 9:08:58 AM GMT+1</t>
  </si>
  <si>
    <t>e.olatunji318@gmail.com</t>
  </si>
  <si>
    <t>In Consideration</t>
  </si>
  <si>
    <t>2026/04/29 9:55:15 AM GMT+1</t>
  </si>
  <si>
    <t>victoryoshomegie2002@gmail.com</t>
  </si>
  <si>
    <t>5,000 - 10,000</t>
  </si>
  <si>
    <t>2026/04/29 9:59:22 AM GMT+1</t>
  </si>
  <si>
    <t>edwardadakole10@gmail.com</t>
  </si>
  <si>
    <t>Other</t>
  </si>
  <si>
    <t>Likely</t>
  </si>
  <si>
    <t>2026/04/29 3:01:19 PM GMT+1</t>
  </si>
  <si>
    <t>ezefavourite007@gmail.com</t>
  </si>
  <si>
    <t>Rarely</t>
  </si>
  <si>
    <t>2026/04/29 3:11:19 PM GMT+1</t>
  </si>
  <si>
    <t>dnwankwo40@gmail.com</t>
  </si>
  <si>
    <t>2026/04/29 3:11:44 PM GMT+1</t>
  </si>
  <si>
    <t>azemhewisdom@gmail.com</t>
  </si>
  <si>
    <t>2026/04/29 3:13:41 PM GMT+1</t>
  </si>
  <si>
    <t>liftedjonah800@gmail.com</t>
  </si>
  <si>
    <t>16,000 - 25,000</t>
  </si>
  <si>
    <t>2026/04/29 3:25:10 PM GMT+1</t>
  </si>
  <si>
    <t>prospereze01@gmail.com</t>
  </si>
  <si>
    <t>2026/04/29 4:58:59 PM GMT+1</t>
  </si>
  <si>
    <t>francafrancis2002@gmail.com</t>
  </si>
  <si>
    <t>Others</t>
  </si>
  <si>
    <t>2026/04/29 7:30:58 PM GMT+1</t>
  </si>
  <si>
    <t>favourakhile234@gmail.com</t>
  </si>
  <si>
    <t>2026/04/29 9:28:29 PM GMT+1</t>
  </si>
  <si>
    <t>uruncleswife67@gmail.com</t>
  </si>
  <si>
    <t>Monthly Savings</t>
  </si>
  <si>
    <t>Future Value 2 years</t>
  </si>
  <si>
    <t>Present Value 2 years</t>
  </si>
  <si>
    <t>Monthly savings for 1M goal</t>
  </si>
  <si>
    <t>Grand Total</t>
  </si>
  <si>
    <t>INDEX</t>
  </si>
  <si>
    <t>XLOOKUP</t>
  </si>
  <si>
    <t>RESTRICTIONS 1</t>
  </si>
  <si>
    <t>RESTRICTIONS 2</t>
  </si>
  <si>
    <t>JAY4565</t>
  </si>
  <si>
    <t>S1235</t>
  </si>
  <si>
    <t>RESTRICTIONS 3</t>
  </si>
  <si>
    <t>RESTRICTIONS 4</t>
  </si>
  <si>
    <t>Brand Choice vs Network Reliability</t>
  </si>
  <si>
    <t>Network Issue frequency vs Switching Likelihood</t>
  </si>
  <si>
    <t>Monthly Spend vs Switching Likelihood</t>
  </si>
  <si>
    <t>Brand Choice vs Switching Likelihood</t>
  </si>
  <si>
    <t>Brand Choice vs Monthly Spending</t>
  </si>
  <si>
    <t>Network Issue Frequency vs Monthly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</si>
</sst>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8" fontId="0" fillId="0" borderId="0" xfId="0" applyNumberFormat="1"/>
    <xf numFmtId="0" fontId="0" fillId="0" borderId="0" xfId="0" pivotButton="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[RED VS YELLOW PROJECT.xlsx]PIVOT 1!PivotTable1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1'!$B$1:$B$2</c:f>
              <c:strCache>
                <c:ptCount val="1"/>
                <c:pt idx="0">
                  <c:v>Airtel</c:v>
                </c:pt>
              </c:strCache>
            </c:strRef>
          </c:tx>
          <c:spPr>
            <a:solidFill>
              <a:schemeClr val="accent1"/>
            </a:solidFill>
            <a:ln>
              <a:noFill/>
            </a:ln>
            <a:effectLst/>
          </c:spPr>
          <c:invertIfNegative val="0"/>
          <c:cat>
            <c:strRef>
              <c:f>'PIVOT 1'!$A$3:$A$6</c:f>
              <c:strCache>
                <c:ptCount val="3"/>
                <c:pt idx="0">
                  <c:v>Airtel</c:v>
                </c:pt>
                <c:pt idx="1">
                  <c:v>Mtn</c:v>
                </c:pt>
                <c:pt idx="2">
                  <c:v>Others</c:v>
                </c:pt>
              </c:strCache>
            </c:strRef>
          </c:cat>
          <c:val>
            <c:numRef>
              <c:f>'PIVOT 1'!$B$3:$B$6</c:f>
              <c:numCache>
                <c:formatCode>General</c:formatCode>
                <c:ptCount val="3"/>
                <c:pt idx="0">
                  <c:v>3</c:v>
                </c:pt>
                <c:pt idx="1">
                  <c:v>1</c:v>
                </c:pt>
              </c:numCache>
            </c:numRef>
          </c:val>
          <c:extLst>
            <c:ext xmlns:c16="http://schemas.microsoft.com/office/drawing/2014/chart" uri="{C3380CC4-5D6E-409C-BE32-E72D297353CC}">
              <c16:uniqueId val="{00000000-5C06-40B8-BA01-ADE464D4453C}"/>
            </c:ext>
          </c:extLst>
        </c:ser>
        <c:ser>
          <c:idx val="1"/>
          <c:order val="1"/>
          <c:tx>
            <c:strRef>
              <c:f>'PIVOT 1'!$C$1:$C$2</c:f>
              <c:strCache>
                <c:ptCount val="1"/>
                <c:pt idx="0">
                  <c:v>Mtn</c:v>
                </c:pt>
              </c:strCache>
            </c:strRef>
          </c:tx>
          <c:spPr>
            <a:solidFill>
              <a:schemeClr val="accent2"/>
            </a:solidFill>
            <a:ln>
              <a:noFill/>
            </a:ln>
            <a:effectLst/>
          </c:spPr>
          <c:invertIfNegative val="0"/>
          <c:cat>
            <c:strRef>
              <c:f>'PIVOT 1'!$A$3:$A$6</c:f>
              <c:strCache>
                <c:ptCount val="3"/>
                <c:pt idx="0">
                  <c:v>Airtel</c:v>
                </c:pt>
                <c:pt idx="1">
                  <c:v>Mtn</c:v>
                </c:pt>
                <c:pt idx="2">
                  <c:v>Others</c:v>
                </c:pt>
              </c:strCache>
            </c:strRef>
          </c:cat>
          <c:val>
            <c:numRef>
              <c:f>'PIVOT 1'!$C$3:$C$6</c:f>
              <c:numCache>
                <c:formatCode>General</c:formatCode>
                <c:ptCount val="3"/>
                <c:pt idx="0">
                  <c:v>3</c:v>
                </c:pt>
                <c:pt idx="1">
                  <c:v>2</c:v>
                </c:pt>
              </c:numCache>
            </c:numRef>
          </c:val>
          <c:extLst>
            <c:ext xmlns:c16="http://schemas.microsoft.com/office/drawing/2014/chart" uri="{C3380CC4-5D6E-409C-BE32-E72D297353CC}">
              <c16:uniqueId val="{00000001-5C06-40B8-BA01-ADE464D4453C}"/>
            </c:ext>
          </c:extLst>
        </c:ser>
        <c:ser>
          <c:idx val="2"/>
          <c:order val="2"/>
          <c:tx>
            <c:strRef>
              <c:f>'PIVOT 1'!$D$1:$D$2</c:f>
              <c:strCache>
                <c:ptCount val="1"/>
                <c:pt idx="0">
                  <c:v>Other</c:v>
                </c:pt>
              </c:strCache>
            </c:strRef>
          </c:tx>
          <c:spPr>
            <a:solidFill>
              <a:schemeClr val="accent3"/>
            </a:solidFill>
            <a:ln>
              <a:noFill/>
            </a:ln>
            <a:effectLst/>
          </c:spPr>
          <c:invertIfNegative val="0"/>
          <c:cat>
            <c:strRef>
              <c:f>'PIVOT 1'!$A$3:$A$6</c:f>
              <c:strCache>
                <c:ptCount val="3"/>
                <c:pt idx="0">
                  <c:v>Airtel</c:v>
                </c:pt>
                <c:pt idx="1">
                  <c:v>Mtn</c:v>
                </c:pt>
                <c:pt idx="2">
                  <c:v>Others</c:v>
                </c:pt>
              </c:strCache>
            </c:strRef>
          </c:cat>
          <c:val>
            <c:numRef>
              <c:f>'PIVOT 1'!$D$3:$D$6</c:f>
              <c:numCache>
                <c:formatCode>General</c:formatCode>
                <c:ptCount val="3"/>
                <c:pt idx="1">
                  <c:v>2</c:v>
                </c:pt>
                <c:pt idx="2">
                  <c:v>1</c:v>
                </c:pt>
              </c:numCache>
            </c:numRef>
          </c:val>
          <c:extLst>
            <c:ext xmlns:c16="http://schemas.microsoft.com/office/drawing/2014/chart" uri="{C3380CC4-5D6E-409C-BE32-E72D297353CC}">
              <c16:uniqueId val="{00000002-5C06-40B8-BA01-ADE464D4453C}"/>
            </c:ext>
          </c:extLst>
        </c:ser>
        <c:dLbls>
          <c:showLegendKey val="0"/>
          <c:showVal val="0"/>
          <c:showCatName val="0"/>
          <c:showSerName val="0"/>
          <c:showPercent val="0"/>
          <c:showBubbleSize val="0"/>
        </c:dLbls>
        <c:gapWidth val="219"/>
        <c:overlap val="-27"/>
        <c:axId val="846758399"/>
        <c:axId val="846766719"/>
      </c:barChart>
      <c:catAx>
        <c:axId val="84675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766719"/>
        <c:crosses val="autoZero"/>
        <c:auto val="1"/>
        <c:lblAlgn val="ctr"/>
        <c:lblOffset val="100"/>
        <c:noMultiLvlLbl val="0"/>
      </c:catAx>
      <c:valAx>
        <c:axId val="84676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75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[RED VS YELLOW PROJECT.xlsx]PIVOT 2!PivotTable3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2'!$B$1:$B$2</c:f>
              <c:strCache>
                <c:ptCount val="1"/>
                <c:pt idx="0">
                  <c:v>11,000 - 15,000</c:v>
                </c:pt>
              </c:strCache>
            </c:strRef>
          </c:tx>
          <c:spPr>
            <a:solidFill>
              <a:schemeClr val="accent1"/>
            </a:solidFill>
            <a:ln>
              <a:noFill/>
            </a:ln>
            <a:effectLst/>
          </c:spPr>
          <c:invertIfNegative val="0"/>
          <c:cat>
            <c:strRef>
              <c:f>'PIVOT 2'!$A$3:$A$6</c:f>
              <c:strCache>
                <c:ptCount val="3"/>
                <c:pt idx="0">
                  <c:v>Airtel</c:v>
                </c:pt>
                <c:pt idx="1">
                  <c:v>Mtn</c:v>
                </c:pt>
                <c:pt idx="2">
                  <c:v>Others</c:v>
                </c:pt>
              </c:strCache>
            </c:strRef>
          </c:cat>
          <c:val>
            <c:numRef>
              <c:f>'PIVOT 2'!$B$3:$B$6</c:f>
              <c:numCache>
                <c:formatCode>General</c:formatCode>
                <c:ptCount val="3"/>
                <c:pt idx="0">
                  <c:v>2</c:v>
                </c:pt>
                <c:pt idx="1">
                  <c:v>3</c:v>
                </c:pt>
              </c:numCache>
            </c:numRef>
          </c:val>
          <c:extLst>
            <c:ext xmlns:c16="http://schemas.microsoft.com/office/drawing/2014/chart" uri="{C3380CC4-5D6E-409C-BE32-E72D297353CC}">
              <c16:uniqueId val="{00000000-EC43-4474-BAA6-5711CCF0A01A}"/>
            </c:ext>
          </c:extLst>
        </c:ser>
        <c:ser>
          <c:idx val="1"/>
          <c:order val="1"/>
          <c:tx>
            <c:strRef>
              <c:f>'PIVOT 2'!$C$1:$C$2</c:f>
              <c:strCache>
                <c:ptCount val="1"/>
                <c:pt idx="0">
                  <c:v>16,000 - 25,000</c:v>
                </c:pt>
              </c:strCache>
            </c:strRef>
          </c:tx>
          <c:spPr>
            <a:solidFill>
              <a:schemeClr val="accent2"/>
            </a:solidFill>
            <a:ln>
              <a:noFill/>
            </a:ln>
            <a:effectLst/>
          </c:spPr>
          <c:invertIfNegative val="0"/>
          <c:cat>
            <c:strRef>
              <c:f>'PIVOT 2'!$A$3:$A$6</c:f>
              <c:strCache>
                <c:ptCount val="3"/>
                <c:pt idx="0">
                  <c:v>Airtel</c:v>
                </c:pt>
                <c:pt idx="1">
                  <c:v>Mtn</c:v>
                </c:pt>
                <c:pt idx="2">
                  <c:v>Others</c:v>
                </c:pt>
              </c:strCache>
            </c:strRef>
          </c:cat>
          <c:val>
            <c:numRef>
              <c:f>'PIVOT 2'!$C$3:$C$6</c:f>
              <c:numCache>
                <c:formatCode>General</c:formatCode>
                <c:ptCount val="3"/>
                <c:pt idx="0">
                  <c:v>1</c:v>
                </c:pt>
                <c:pt idx="1">
                  <c:v>1</c:v>
                </c:pt>
                <c:pt idx="2">
                  <c:v>1</c:v>
                </c:pt>
              </c:numCache>
            </c:numRef>
          </c:val>
          <c:extLst>
            <c:ext xmlns:c16="http://schemas.microsoft.com/office/drawing/2014/chart" uri="{C3380CC4-5D6E-409C-BE32-E72D297353CC}">
              <c16:uniqueId val="{00000001-A895-4214-AB75-BF2C2A7E6EA1}"/>
            </c:ext>
          </c:extLst>
        </c:ser>
        <c:ser>
          <c:idx val="2"/>
          <c:order val="2"/>
          <c:tx>
            <c:strRef>
              <c:f>'PIVOT 2'!$D$1:$D$2</c:f>
              <c:strCache>
                <c:ptCount val="1"/>
                <c:pt idx="0">
                  <c:v>5,000 - 10,000</c:v>
                </c:pt>
              </c:strCache>
            </c:strRef>
          </c:tx>
          <c:spPr>
            <a:solidFill>
              <a:schemeClr val="accent3"/>
            </a:solidFill>
            <a:ln>
              <a:noFill/>
            </a:ln>
            <a:effectLst/>
          </c:spPr>
          <c:invertIfNegative val="0"/>
          <c:cat>
            <c:strRef>
              <c:f>'PIVOT 2'!$A$3:$A$6</c:f>
              <c:strCache>
                <c:ptCount val="3"/>
                <c:pt idx="0">
                  <c:v>Airtel</c:v>
                </c:pt>
                <c:pt idx="1">
                  <c:v>Mtn</c:v>
                </c:pt>
                <c:pt idx="2">
                  <c:v>Others</c:v>
                </c:pt>
              </c:strCache>
            </c:strRef>
          </c:cat>
          <c:val>
            <c:numRef>
              <c:f>'PIVOT 2'!$D$3:$D$6</c:f>
              <c:numCache>
                <c:formatCode>General</c:formatCode>
                <c:ptCount val="3"/>
                <c:pt idx="0">
                  <c:v>3</c:v>
                </c:pt>
                <c:pt idx="1">
                  <c:v>1</c:v>
                </c:pt>
              </c:numCache>
            </c:numRef>
          </c:val>
          <c:extLst>
            <c:ext xmlns:c16="http://schemas.microsoft.com/office/drawing/2014/chart" uri="{C3380CC4-5D6E-409C-BE32-E72D297353CC}">
              <c16:uniqueId val="{00000002-A895-4214-AB75-BF2C2A7E6EA1}"/>
            </c:ext>
          </c:extLst>
        </c:ser>
        <c:dLbls>
          <c:showLegendKey val="0"/>
          <c:showVal val="0"/>
          <c:showCatName val="0"/>
          <c:showSerName val="0"/>
          <c:showPercent val="0"/>
          <c:showBubbleSize val="0"/>
        </c:dLbls>
        <c:gapWidth val="150"/>
        <c:overlap val="100"/>
        <c:axId val="846758815"/>
        <c:axId val="846759231"/>
      </c:barChart>
      <c:catAx>
        <c:axId val="84675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759231"/>
        <c:crosses val="autoZero"/>
        <c:auto val="1"/>
        <c:lblAlgn val="ctr"/>
        <c:lblOffset val="100"/>
        <c:noMultiLvlLbl val="0"/>
      </c:catAx>
      <c:valAx>
        <c:axId val="84675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75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[RED VS YELLOW PROJECT.xlsx]PIVOT 3!PivotTable4</c:name>
    <c:fmtId val="1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3'!$B$1:$B$2</c:f>
              <c:strCache>
                <c:ptCount val="1"/>
                <c:pt idx="0">
                  <c:v>In Consideration</c:v>
                </c:pt>
              </c:strCache>
            </c:strRef>
          </c:tx>
          <c:spPr>
            <a:solidFill>
              <a:schemeClr val="accent1"/>
            </a:solidFill>
            <a:ln>
              <a:noFill/>
            </a:ln>
            <a:effectLst/>
            <a:sp3d/>
          </c:spPr>
          <c:invertIfNegative val="0"/>
          <c:cat>
            <c:strRef>
              <c:f>'PIVOT 3'!$A$3:$A$5</c:f>
              <c:strCache>
                <c:ptCount val="2"/>
                <c:pt idx="0">
                  <c:v>AlwaysðŸ˜¤</c:v>
                </c:pt>
                <c:pt idx="1">
                  <c:v>Rarely</c:v>
                </c:pt>
              </c:strCache>
            </c:strRef>
          </c:cat>
          <c:val>
            <c:numRef>
              <c:f>'PIVOT 3'!$B$3:$B$5</c:f>
              <c:numCache>
                <c:formatCode>General</c:formatCode>
                <c:ptCount val="2"/>
                <c:pt idx="0">
                  <c:v>4</c:v>
                </c:pt>
              </c:numCache>
            </c:numRef>
          </c:val>
          <c:extLst>
            <c:ext xmlns:c16="http://schemas.microsoft.com/office/drawing/2014/chart" uri="{C3380CC4-5D6E-409C-BE32-E72D297353CC}">
              <c16:uniqueId val="{00000002-1A1C-46ED-B552-F20B8D9B4F04}"/>
            </c:ext>
          </c:extLst>
        </c:ser>
        <c:ser>
          <c:idx val="1"/>
          <c:order val="1"/>
          <c:tx>
            <c:strRef>
              <c:f>'PIVOT 3'!$C$1:$C$2</c:f>
              <c:strCache>
                <c:ptCount val="1"/>
                <c:pt idx="0">
                  <c:v>Likely</c:v>
                </c:pt>
              </c:strCache>
            </c:strRef>
          </c:tx>
          <c:spPr>
            <a:solidFill>
              <a:schemeClr val="accent2"/>
            </a:solidFill>
            <a:ln>
              <a:noFill/>
            </a:ln>
            <a:effectLst/>
            <a:sp3d/>
          </c:spPr>
          <c:invertIfNegative val="0"/>
          <c:cat>
            <c:strRef>
              <c:f>'PIVOT 3'!$A$3:$A$5</c:f>
              <c:strCache>
                <c:ptCount val="2"/>
                <c:pt idx="0">
                  <c:v>AlwaysðŸ˜¤</c:v>
                </c:pt>
                <c:pt idx="1">
                  <c:v>Rarely</c:v>
                </c:pt>
              </c:strCache>
            </c:strRef>
          </c:cat>
          <c:val>
            <c:numRef>
              <c:f>'PIVOT 3'!$C$3:$C$5</c:f>
              <c:numCache>
                <c:formatCode>General</c:formatCode>
                <c:ptCount val="2"/>
                <c:pt idx="0">
                  <c:v>3</c:v>
                </c:pt>
              </c:numCache>
            </c:numRef>
          </c:val>
          <c:extLst>
            <c:ext xmlns:c16="http://schemas.microsoft.com/office/drawing/2014/chart" uri="{C3380CC4-5D6E-409C-BE32-E72D297353CC}">
              <c16:uniqueId val="{00000003-1A1C-46ED-B552-F20B8D9B4F04}"/>
            </c:ext>
          </c:extLst>
        </c:ser>
        <c:ser>
          <c:idx val="2"/>
          <c:order val="2"/>
          <c:tx>
            <c:strRef>
              <c:f>'PIVOT 3'!$D$1:$D$2</c:f>
              <c:strCache>
                <c:ptCount val="1"/>
                <c:pt idx="0">
                  <c:v>Not Likely</c:v>
                </c:pt>
              </c:strCache>
            </c:strRef>
          </c:tx>
          <c:spPr>
            <a:solidFill>
              <a:schemeClr val="accent3"/>
            </a:solidFill>
            <a:ln>
              <a:noFill/>
            </a:ln>
            <a:effectLst/>
            <a:sp3d/>
          </c:spPr>
          <c:invertIfNegative val="0"/>
          <c:cat>
            <c:strRef>
              <c:f>'PIVOT 3'!$A$3:$A$5</c:f>
              <c:strCache>
                <c:ptCount val="2"/>
                <c:pt idx="0">
                  <c:v>AlwaysðŸ˜¤</c:v>
                </c:pt>
                <c:pt idx="1">
                  <c:v>Rarely</c:v>
                </c:pt>
              </c:strCache>
            </c:strRef>
          </c:cat>
          <c:val>
            <c:numRef>
              <c:f>'PIVOT 3'!$D$3:$D$5</c:f>
              <c:numCache>
                <c:formatCode>General</c:formatCode>
                <c:ptCount val="2"/>
                <c:pt idx="0">
                  <c:v>3</c:v>
                </c:pt>
                <c:pt idx="1">
                  <c:v>2</c:v>
                </c:pt>
              </c:numCache>
            </c:numRef>
          </c:val>
          <c:extLst>
            <c:ext xmlns:c16="http://schemas.microsoft.com/office/drawing/2014/chart" uri="{C3380CC4-5D6E-409C-BE32-E72D297353CC}">
              <c16:uniqueId val="{00000004-1A1C-46ED-B552-F20B8D9B4F04}"/>
            </c:ext>
          </c:extLst>
        </c:ser>
        <c:dLbls>
          <c:showLegendKey val="0"/>
          <c:showVal val="0"/>
          <c:showCatName val="0"/>
          <c:showSerName val="0"/>
          <c:showPercent val="0"/>
          <c:showBubbleSize val="0"/>
        </c:dLbls>
        <c:gapWidth val="150"/>
        <c:shape val="box"/>
        <c:axId val="1364778975"/>
        <c:axId val="1364790623"/>
        <c:axId val="0"/>
      </c:bar3DChart>
      <c:catAx>
        <c:axId val="1364778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90623"/>
        <c:crosses val="autoZero"/>
        <c:auto val="1"/>
        <c:lblAlgn val="ctr"/>
        <c:lblOffset val="100"/>
        <c:noMultiLvlLbl val="0"/>
      </c:catAx>
      <c:valAx>
        <c:axId val="1364790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7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[RED VS YELLOW PROJECT.xlsx]PIVOT 4!PivotTable5</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s>
    <c:plotArea>
      <c:layout/>
      <c:pieChart>
        <c:varyColors val="1"/>
        <c:ser>
          <c:idx val="0"/>
          <c:order val="0"/>
          <c:tx>
            <c:strRef>
              <c:f>'PIVOT 4'!$B$1:$B$2</c:f>
              <c:strCache>
                <c:ptCount val="1"/>
                <c:pt idx="0">
                  <c:v>11,000 - 15,000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00-46BB-AC25-6F9FFE3112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00-46BB-AC25-6F9FFE3112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600-46BB-AC25-6F9FFE311287}"/>
              </c:ext>
            </c:extLst>
          </c:dPt>
          <c:cat>
            <c:strRef>
              <c:f>'PIVOT 4'!$A$3:$A$5</c:f>
              <c:strCache>
                <c:ptCount val="2"/>
                <c:pt idx="0">
                  <c:v>AlwaysðŸ˜¤</c:v>
                </c:pt>
                <c:pt idx="1">
                  <c:v>Rarely</c:v>
                </c:pt>
              </c:strCache>
            </c:strRef>
          </c:cat>
          <c:val>
            <c:numRef>
              <c:f>'PIVOT 4'!$B$3:$B$5</c:f>
              <c:numCache>
                <c:formatCode>General</c:formatCode>
                <c:ptCount val="2"/>
                <c:pt idx="0">
                  <c:v>5</c:v>
                </c:pt>
              </c:numCache>
            </c:numRef>
          </c:val>
          <c:extLst>
            <c:ext xmlns:c16="http://schemas.microsoft.com/office/drawing/2014/chart" uri="{C3380CC4-5D6E-409C-BE32-E72D297353CC}">
              <c16:uniqueId val="{00000006-D600-46BB-AC25-6F9FFE311287}"/>
            </c:ext>
          </c:extLst>
        </c:ser>
        <c:ser>
          <c:idx val="1"/>
          <c:order val="1"/>
          <c:tx>
            <c:strRef>
              <c:f>'PIVOT 4'!$C$1:$C$2</c:f>
              <c:strCache>
                <c:ptCount val="1"/>
                <c:pt idx="0">
                  <c:v>16,000 - 25,000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D600-46BB-AC25-6F9FFE3112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D600-46BB-AC25-6F9FFE3112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D600-46BB-AC25-6F9FFE311287}"/>
              </c:ext>
            </c:extLst>
          </c:dPt>
          <c:cat>
            <c:strRef>
              <c:f>'PIVOT 4'!$A$3:$A$5</c:f>
              <c:strCache>
                <c:ptCount val="2"/>
                <c:pt idx="0">
                  <c:v>AlwaysðŸ˜¤</c:v>
                </c:pt>
                <c:pt idx="1">
                  <c:v>Rarely</c:v>
                </c:pt>
              </c:strCache>
            </c:strRef>
          </c:cat>
          <c:val>
            <c:numRef>
              <c:f>'PIVOT 4'!$C$3:$C$5</c:f>
              <c:numCache>
                <c:formatCode>General</c:formatCode>
                <c:ptCount val="2"/>
                <c:pt idx="0">
                  <c:v>2</c:v>
                </c:pt>
                <c:pt idx="1">
                  <c:v>1</c:v>
                </c:pt>
              </c:numCache>
            </c:numRef>
          </c:val>
          <c:extLst>
            <c:ext xmlns:c16="http://schemas.microsoft.com/office/drawing/2014/chart" uri="{C3380CC4-5D6E-409C-BE32-E72D297353CC}">
              <c16:uniqueId val="{0000000D-D600-46BB-AC25-6F9FFE311287}"/>
            </c:ext>
          </c:extLst>
        </c:ser>
        <c:ser>
          <c:idx val="2"/>
          <c:order val="2"/>
          <c:tx>
            <c:strRef>
              <c:f>'PIVOT 4'!$D$1:$D$2</c:f>
              <c:strCache>
                <c:ptCount val="1"/>
                <c:pt idx="0">
                  <c:v>5,000 - 10,000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D600-46BB-AC25-6F9FFE3112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D600-46BB-AC25-6F9FFE3112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D600-46BB-AC25-6F9FFE311287}"/>
              </c:ext>
            </c:extLst>
          </c:dPt>
          <c:cat>
            <c:strRef>
              <c:f>'PIVOT 4'!$A$3:$A$5</c:f>
              <c:strCache>
                <c:ptCount val="2"/>
                <c:pt idx="0">
                  <c:v>AlwaysðŸ˜¤</c:v>
                </c:pt>
                <c:pt idx="1">
                  <c:v>Rarely</c:v>
                </c:pt>
              </c:strCache>
            </c:strRef>
          </c:cat>
          <c:val>
            <c:numRef>
              <c:f>'PIVOT 4'!$D$3:$D$5</c:f>
              <c:numCache>
                <c:formatCode>General</c:formatCode>
                <c:ptCount val="2"/>
                <c:pt idx="0">
                  <c:v>3</c:v>
                </c:pt>
                <c:pt idx="1">
                  <c:v>1</c:v>
                </c:pt>
              </c:numCache>
            </c:numRef>
          </c:val>
          <c:extLst>
            <c:ext xmlns:c16="http://schemas.microsoft.com/office/drawing/2014/chart" uri="{C3380CC4-5D6E-409C-BE32-E72D297353CC}">
              <c16:uniqueId val="{00000014-D600-46BB-AC25-6F9FFE3112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[RED VS YELLOW PROJECT.xlsx]PIVOT 5!PivotTable6</c:name>
    <c:fmtId val="21"/>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doughnutChart>
        <c:varyColors val="1"/>
        <c:ser>
          <c:idx val="0"/>
          <c:order val="0"/>
          <c:tx>
            <c:strRef>
              <c:f>'PIVOT 5'!$B$1:$B$2</c:f>
              <c:strCache>
                <c:ptCount val="1"/>
                <c:pt idx="0">
                  <c:v>11,000 - 15,000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D0-4298-A968-2D913FCA15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D0-4298-A968-2D913FCA15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D0-4298-A968-2D913FCA153E}"/>
              </c:ext>
            </c:extLst>
          </c:dPt>
          <c:cat>
            <c:strRef>
              <c:f>'PIVOT 5'!$A$3:$A$6</c:f>
              <c:strCache>
                <c:ptCount val="3"/>
                <c:pt idx="0">
                  <c:v>In Consideration</c:v>
                </c:pt>
                <c:pt idx="1">
                  <c:v>Likely</c:v>
                </c:pt>
                <c:pt idx="2">
                  <c:v>Not Likely</c:v>
                </c:pt>
              </c:strCache>
            </c:strRef>
          </c:cat>
          <c:val>
            <c:numRef>
              <c:f>'PIVOT 5'!$B$3:$B$6</c:f>
              <c:numCache>
                <c:formatCode>General</c:formatCode>
                <c:ptCount val="3"/>
                <c:pt idx="0">
                  <c:v>3</c:v>
                </c:pt>
                <c:pt idx="1">
                  <c:v>1</c:v>
                </c:pt>
                <c:pt idx="2">
                  <c:v>1</c:v>
                </c:pt>
              </c:numCache>
            </c:numRef>
          </c:val>
          <c:extLst>
            <c:ext xmlns:c16="http://schemas.microsoft.com/office/drawing/2014/chart" uri="{C3380CC4-5D6E-409C-BE32-E72D297353CC}">
              <c16:uniqueId val="{00000008-EBB6-43F4-9812-169AF2412E01}"/>
            </c:ext>
          </c:extLst>
        </c:ser>
        <c:ser>
          <c:idx val="1"/>
          <c:order val="1"/>
          <c:tx>
            <c:strRef>
              <c:f>'PIVOT 5'!$C$1:$C$2</c:f>
              <c:strCache>
                <c:ptCount val="1"/>
                <c:pt idx="0">
                  <c:v>16,000 - 25,000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14D0-4298-A968-2D913FCA15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14D0-4298-A968-2D913FCA15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14D0-4298-A968-2D913FCA153E}"/>
              </c:ext>
            </c:extLst>
          </c:dPt>
          <c:cat>
            <c:strRef>
              <c:f>'PIVOT 5'!$A$3:$A$6</c:f>
              <c:strCache>
                <c:ptCount val="3"/>
                <c:pt idx="0">
                  <c:v>In Consideration</c:v>
                </c:pt>
                <c:pt idx="1">
                  <c:v>Likely</c:v>
                </c:pt>
                <c:pt idx="2">
                  <c:v>Not Likely</c:v>
                </c:pt>
              </c:strCache>
            </c:strRef>
          </c:cat>
          <c:val>
            <c:numRef>
              <c:f>'PIVOT 5'!$C$3:$C$6</c:f>
              <c:numCache>
                <c:formatCode>General</c:formatCode>
                <c:ptCount val="3"/>
                <c:pt idx="0">
                  <c:v>1</c:v>
                </c:pt>
                <c:pt idx="2">
                  <c:v>2</c:v>
                </c:pt>
              </c:numCache>
            </c:numRef>
          </c:val>
          <c:extLst>
            <c:ext xmlns:c16="http://schemas.microsoft.com/office/drawing/2014/chart" uri="{C3380CC4-5D6E-409C-BE32-E72D297353CC}">
              <c16:uniqueId val="{00000009-EBB6-43F4-9812-169AF2412E01}"/>
            </c:ext>
          </c:extLst>
        </c:ser>
        <c:ser>
          <c:idx val="2"/>
          <c:order val="2"/>
          <c:tx>
            <c:strRef>
              <c:f>'PIVOT 5'!$D$1:$D$2</c:f>
              <c:strCache>
                <c:ptCount val="1"/>
                <c:pt idx="0">
                  <c:v>5,000 - 10,000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14D0-4298-A968-2D913FCA15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14D0-4298-A968-2D913FCA15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14D0-4298-A968-2D913FCA153E}"/>
              </c:ext>
            </c:extLst>
          </c:dPt>
          <c:cat>
            <c:strRef>
              <c:f>'PIVOT 5'!$A$3:$A$6</c:f>
              <c:strCache>
                <c:ptCount val="3"/>
                <c:pt idx="0">
                  <c:v>In Consideration</c:v>
                </c:pt>
                <c:pt idx="1">
                  <c:v>Likely</c:v>
                </c:pt>
                <c:pt idx="2">
                  <c:v>Not Likely</c:v>
                </c:pt>
              </c:strCache>
            </c:strRef>
          </c:cat>
          <c:val>
            <c:numRef>
              <c:f>'PIVOT 5'!$D$3:$D$6</c:f>
              <c:numCache>
                <c:formatCode>General</c:formatCode>
                <c:ptCount val="3"/>
                <c:pt idx="1">
                  <c:v>2</c:v>
                </c:pt>
                <c:pt idx="2">
                  <c:v>2</c:v>
                </c:pt>
              </c:numCache>
            </c:numRef>
          </c:val>
          <c:extLst>
            <c:ext xmlns:c16="http://schemas.microsoft.com/office/drawing/2014/chart" uri="{C3380CC4-5D6E-409C-BE32-E72D297353CC}">
              <c16:uniqueId val="{0000000A-EBB6-43F4-9812-169AF2412E0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[RED VS YELLOW PROJECT.xlsx]PIVOT 6!PivotTable7</c:name>
    <c:fmtId val="2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'PIVOT 6'!$B$1:$B$2</c:f>
              <c:strCache>
                <c:ptCount val="1"/>
                <c:pt idx="0">
                  <c:v>In Consideration</c:v>
                </c:pt>
              </c:strCache>
            </c:strRef>
          </c:tx>
          <c:spPr>
            <a:solidFill>
              <a:schemeClr val="accent1"/>
            </a:solidFill>
            <a:ln>
              <a:noFill/>
            </a:ln>
            <a:effectLst/>
          </c:spPr>
          <c:cat>
            <c:strRef>
              <c:f>'PIVOT 6'!$A$3:$A$6</c:f>
              <c:strCache>
                <c:ptCount val="3"/>
                <c:pt idx="0">
                  <c:v>Airtel</c:v>
                </c:pt>
                <c:pt idx="1">
                  <c:v>Mtn</c:v>
                </c:pt>
                <c:pt idx="2">
                  <c:v>Others</c:v>
                </c:pt>
              </c:strCache>
            </c:strRef>
          </c:cat>
          <c:val>
            <c:numRef>
              <c:f>'PIVOT 6'!$B$3:$B$6</c:f>
              <c:numCache>
                <c:formatCode>General</c:formatCode>
                <c:ptCount val="3"/>
                <c:pt idx="0">
                  <c:v>1</c:v>
                </c:pt>
                <c:pt idx="1">
                  <c:v>2</c:v>
                </c:pt>
                <c:pt idx="2">
                  <c:v>1</c:v>
                </c:pt>
              </c:numCache>
            </c:numRef>
          </c:val>
          <c:extLst>
            <c:ext xmlns:c16="http://schemas.microsoft.com/office/drawing/2014/chart" uri="{C3380CC4-5D6E-409C-BE32-E72D297353CC}">
              <c16:uniqueId val="{00000000-3313-4D27-983C-FDD2E6F7A484}"/>
            </c:ext>
          </c:extLst>
        </c:ser>
        <c:ser>
          <c:idx val="1"/>
          <c:order val="1"/>
          <c:tx>
            <c:strRef>
              <c:f>'PIVOT 6'!$C$1:$C$2</c:f>
              <c:strCache>
                <c:ptCount val="1"/>
                <c:pt idx="0">
                  <c:v>Likely</c:v>
                </c:pt>
              </c:strCache>
            </c:strRef>
          </c:tx>
          <c:spPr>
            <a:solidFill>
              <a:schemeClr val="accent2"/>
            </a:solidFill>
            <a:ln>
              <a:noFill/>
            </a:ln>
            <a:effectLst/>
          </c:spPr>
          <c:cat>
            <c:strRef>
              <c:f>'PIVOT 6'!$A$3:$A$6</c:f>
              <c:strCache>
                <c:ptCount val="3"/>
                <c:pt idx="0">
                  <c:v>Airtel</c:v>
                </c:pt>
                <c:pt idx="1">
                  <c:v>Mtn</c:v>
                </c:pt>
                <c:pt idx="2">
                  <c:v>Others</c:v>
                </c:pt>
              </c:strCache>
            </c:strRef>
          </c:cat>
          <c:val>
            <c:numRef>
              <c:f>'PIVOT 6'!$C$3:$C$6</c:f>
              <c:numCache>
                <c:formatCode>General</c:formatCode>
                <c:ptCount val="3"/>
                <c:pt idx="0">
                  <c:v>2</c:v>
                </c:pt>
                <c:pt idx="1">
                  <c:v>1</c:v>
                </c:pt>
              </c:numCache>
            </c:numRef>
          </c:val>
          <c:extLst>
            <c:ext xmlns:c16="http://schemas.microsoft.com/office/drawing/2014/chart" uri="{C3380CC4-5D6E-409C-BE32-E72D297353CC}">
              <c16:uniqueId val="{00000001-3313-4D27-983C-FDD2E6F7A484}"/>
            </c:ext>
          </c:extLst>
        </c:ser>
        <c:ser>
          <c:idx val="2"/>
          <c:order val="2"/>
          <c:tx>
            <c:strRef>
              <c:f>'PIVOT 6'!$D$1:$D$2</c:f>
              <c:strCache>
                <c:ptCount val="1"/>
                <c:pt idx="0">
                  <c:v>Not Likely</c:v>
                </c:pt>
              </c:strCache>
            </c:strRef>
          </c:tx>
          <c:spPr>
            <a:solidFill>
              <a:schemeClr val="accent3"/>
            </a:solidFill>
            <a:ln>
              <a:noFill/>
            </a:ln>
            <a:effectLst/>
          </c:spPr>
          <c:cat>
            <c:strRef>
              <c:f>'PIVOT 6'!$A$3:$A$6</c:f>
              <c:strCache>
                <c:ptCount val="3"/>
                <c:pt idx="0">
                  <c:v>Airtel</c:v>
                </c:pt>
                <c:pt idx="1">
                  <c:v>Mtn</c:v>
                </c:pt>
                <c:pt idx="2">
                  <c:v>Others</c:v>
                </c:pt>
              </c:strCache>
            </c:strRef>
          </c:cat>
          <c:val>
            <c:numRef>
              <c:f>'PIVOT 6'!$D$3:$D$6</c:f>
              <c:numCache>
                <c:formatCode>General</c:formatCode>
                <c:ptCount val="3"/>
                <c:pt idx="0">
                  <c:v>3</c:v>
                </c:pt>
                <c:pt idx="1">
                  <c:v>2</c:v>
                </c:pt>
              </c:numCache>
            </c:numRef>
          </c:val>
          <c:extLst>
            <c:ext xmlns:c16="http://schemas.microsoft.com/office/drawing/2014/chart" uri="{C3380CC4-5D6E-409C-BE32-E72D297353CC}">
              <c16:uniqueId val="{00000002-3313-4D27-983C-FDD2E6F7A484}"/>
            </c:ext>
          </c:extLst>
        </c:ser>
        <c:dLbls>
          <c:showLegendKey val="0"/>
          <c:showVal val="0"/>
          <c:showCatName val="0"/>
          <c:showSerName val="0"/>
          <c:showPercent val="0"/>
          <c:showBubbleSize val="0"/>
        </c:dLbls>
        <c:axId val="1364771071"/>
        <c:axId val="1364792287"/>
      </c:areaChart>
      <c:catAx>
        <c:axId val="1364771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92287"/>
        <c:crosses val="autoZero"/>
        <c:auto val="1"/>
        <c:lblAlgn val="ctr"/>
        <c:lblOffset val="100"/>
        <c:noMultiLvlLbl val="0"/>
      </c:catAx>
      <c:valAx>
        <c:axId val="13647922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710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2" name="Chart 1">
          <a:extLst>
            <a:ext uri="{FF2B5EF4-FFF2-40B4-BE49-F238E27FC236}">
              <a16:creationId xmlns:a16="http://schemas.microsoft.com/office/drawing/2014/main" id="{FEB96EC0-D72A-4115-A757-21220EA3A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295275</xdr:colOff>
      <xdr:row>0</xdr:row>
      <xdr:rowOff>0</xdr:rowOff>
    </xdr:from>
    <xdr:to>
      <xdr:col>14</xdr:col>
      <xdr:colOff>600075</xdr:colOff>
      <xdr:row>14</xdr:row>
      <xdr:rowOff>76200</xdr:rowOff>
    </xdr:to>
    <xdr:graphicFrame macro="">
      <xdr:nvGraphicFramePr>
        <xdr:cNvPr id="6" name="Chart 5">
          <a:extLst>
            <a:ext uri="{FF2B5EF4-FFF2-40B4-BE49-F238E27FC236}">
              <a16:creationId xmlns:a16="http://schemas.microsoft.com/office/drawing/2014/main" id="{7B6C4D05-417D-4E52-A39E-DC5964ACC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102053</xdr:rowOff>
    </xdr:from>
    <xdr:to>
      <xdr:col>7</xdr:col>
      <xdr:colOff>304800</xdr:colOff>
      <xdr:row>28</xdr:row>
      <xdr:rowOff>178253</xdr:rowOff>
    </xdr:to>
    <xdr:graphicFrame macro="">
      <xdr:nvGraphicFramePr>
        <xdr:cNvPr id="8" name="Chart 7">
          <a:extLst>
            <a:ext uri="{FF2B5EF4-FFF2-40B4-BE49-F238E27FC236}">
              <a16:creationId xmlns:a16="http://schemas.microsoft.com/office/drawing/2014/main" id="{44BA5677-9FC3-4D0A-883A-BC3EA237B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xdr:colOff>
      <xdr:row>0</xdr:row>
      <xdr:rowOff>0</xdr:rowOff>
    </xdr:from>
    <xdr:to>
      <xdr:col>22</xdr:col>
      <xdr:colOff>304801</xdr:colOff>
      <xdr:row>14</xdr:row>
      <xdr:rowOff>76200</xdr:rowOff>
    </xdr:to>
    <xdr:graphicFrame macro="">
      <xdr:nvGraphicFramePr>
        <xdr:cNvPr id="10" name="Chart 9">
          <a:extLst>
            <a:ext uri="{FF2B5EF4-FFF2-40B4-BE49-F238E27FC236}">
              <a16:creationId xmlns:a16="http://schemas.microsoft.com/office/drawing/2014/main" id="{A40C9362-12BB-474B-A76F-61EFD04CC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316367</xdr:colOff>
      <xdr:row>14</xdr:row>
      <xdr:rowOff>95250</xdr:rowOff>
    </xdr:from>
    <xdr:to>
      <xdr:col>15</xdr:col>
      <xdr:colOff>2042</xdr:colOff>
      <xdr:row>28</xdr:row>
      <xdr:rowOff>171450</xdr:rowOff>
    </xdr:to>
    <xdr:graphicFrame macro="">
      <xdr:nvGraphicFramePr>
        <xdr:cNvPr id="12" name="Chart 11">
          <a:extLst>
            <a:ext uri="{FF2B5EF4-FFF2-40B4-BE49-F238E27FC236}">
              <a16:creationId xmlns:a16="http://schemas.microsoft.com/office/drawing/2014/main" id="{503824BA-6E34-40A2-B905-8494541D0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20411</xdr:colOff>
      <xdr:row>14</xdr:row>
      <xdr:rowOff>91848</xdr:rowOff>
    </xdr:from>
    <xdr:to>
      <xdr:col>22</xdr:col>
      <xdr:colOff>318408</xdr:colOff>
      <xdr:row>28</xdr:row>
      <xdr:rowOff>168048</xdr:rowOff>
    </xdr:to>
    <xdr:graphicFrame macro="">
      <xdr:nvGraphicFramePr>
        <xdr:cNvPr id="14" name="Chart 13">
          <a:extLst>
            <a:ext uri="{FF2B5EF4-FFF2-40B4-BE49-F238E27FC236}">
              <a16:creationId xmlns:a16="http://schemas.microsoft.com/office/drawing/2014/main" id="{D983D3D9-1612-4FAB-8E59-9884343B5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19</xdr:col>
      <xdr:colOff>421822</xdr:colOff>
      <xdr:row>33</xdr:row>
      <xdr:rowOff>136071</xdr:rowOff>
    </xdr:from>
    <xdr:ext cx="184731" cy="264560"/>
    <xdr:sp macro="" textlink="">
      <xdr:nvSpPr>
        <xdr:cNvPr id="15" name="TextBox 14">
          <a:extLst>
            <a:ext uri="{FF2B5EF4-FFF2-40B4-BE49-F238E27FC236}">
              <a16:creationId xmlns:a16="http://schemas.microsoft.com/office/drawing/2014/main" id="{02634AFC-C1B5-4043-9B4C-C1AC1E3FDC8E}"/>
            </a:ext>
          </a:extLst>
        </xdr:cNvPr>
        <xdr:cNvSpPr txBox="1"/>
      </xdr:nvSpPr>
      <xdr:spPr>
        <a:xfrm>
          <a:off x="12055929" y="64225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0</xdr:colOff>
      <xdr:row>28</xdr:row>
      <xdr:rowOff>186789</xdr:rowOff>
    </xdr:from>
    <xdr:to>
      <xdr:col>12</xdr:col>
      <xdr:colOff>551708</xdr:colOff>
      <xdr:row>45</xdr:row>
      <xdr:rowOff>87209</xdr:rowOff>
    </xdr:to>
    <xdr:sp macro="" textlink="">
      <xdr:nvSpPr>
        <xdr:cNvPr id="16" name="TextBox 15">
          <a:extLst>
            <a:ext uri="{FF2B5EF4-FFF2-40B4-BE49-F238E27FC236}">
              <a16:creationId xmlns:a16="http://schemas.microsoft.com/office/drawing/2014/main" id="{0C377CBD-2811-4AB5-98CA-A6063FBAE101}"/>
            </a:ext>
          </a:extLst>
        </xdr:cNvPr>
        <xdr:cNvSpPr txBox="1"/>
      </xdr:nvSpPr>
      <xdr:spPr>
        <a:xfrm>
          <a:off x="0" y="5642016"/>
          <a:ext cx="7825344" cy="32125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a:lnSpc>
              <a:spcPct val="115000"/>
            </a:lnSpc>
            <a:spcBef>
              <a:spcPts val="0"/>
            </a:spcBef>
            <a:spcAft>
              <a:spcPts val="1000"/>
            </a:spcAft>
          </a:pPr>
          <a:r>
            <a:rPr lang="en-US" sz="1100">
              <a:effectLst/>
              <a:latin typeface="Calibri" panose="020F0502020204030204" pitchFamily="34" charset="0"/>
              <a:ea typeface="SimSun" panose="02010600030101010101" pitchFamily="2" charset="-122"/>
              <a:cs typeface="Times New Roman" panose="02020603050405020304" pitchFamily="18" charset="0"/>
            </a:rPr>
            <a:t>Airtel Brand Fragility: Half of all primary Airtel users (50\%) explicitly believe that their main competitor, MTN, is more reliable than their own provider. They are highly vulnerable to being poached.</a:t>
          </a:r>
        </a:p>
        <a:p>
          <a:pPr marL="0" marR="0">
            <a:lnSpc>
              <a:spcPct val="115000"/>
            </a:lnSpc>
            <a:spcBef>
              <a:spcPts val="0"/>
            </a:spcBef>
            <a:spcAft>
              <a:spcPts val="1000"/>
            </a:spcAft>
          </a:pPr>
          <a:r>
            <a:rPr lang="en-US" sz="1100">
              <a:effectLst/>
              <a:latin typeface="Calibri" panose="020F0502020204030204" pitchFamily="34" charset="0"/>
              <a:ea typeface="SimSun" panose="02010600030101010101" pitchFamily="2" charset="-122"/>
              <a:cs typeface="Times New Roman" panose="02020603050405020304" pitchFamily="18" charset="0"/>
            </a:rPr>
            <a:t>​The Churn Trigger: Technical failure is the single biggest driver of customer loss. Exactly 100\% of the users planning to leave or considering a switch experience network issues "Always."</a:t>
          </a:r>
        </a:p>
        <a:p>
          <a:pPr marL="0" marR="0">
            <a:lnSpc>
              <a:spcPct val="115000"/>
            </a:lnSpc>
            <a:spcBef>
              <a:spcPts val="0"/>
            </a:spcBef>
            <a:spcAft>
              <a:spcPts val="1000"/>
            </a:spcAft>
          </a:pPr>
          <a:r>
            <a:rPr lang="en-US" sz="1100">
              <a:effectLst/>
              <a:latin typeface="Calibri" panose="020F0502020204030204" pitchFamily="34" charset="0"/>
              <a:ea typeface="SimSun" panose="02010600030101010101" pitchFamily="2" charset="-122"/>
              <a:cs typeface="Times New Roman" panose="02020603050405020304" pitchFamily="18" charset="0"/>
            </a:rPr>
            <a:t>​Premium Revenue at Risk: The most lucrative customers are sitting on the fence. Users who are currently "In Consideration" of switching have the highest average monthly data spend (N14,875) compared to those who are staying.</a:t>
          </a:r>
        </a:p>
        <a:p>
          <a:pPr marL="0" marR="0">
            <a:lnSpc>
              <a:spcPct val="115000"/>
            </a:lnSpc>
            <a:spcBef>
              <a:spcPts val="0"/>
            </a:spcBef>
            <a:spcAft>
              <a:spcPts val="1000"/>
            </a:spcAft>
          </a:pPr>
          <a:r>
            <a:rPr lang="en-US" sz="1100">
              <a:effectLst/>
              <a:latin typeface="Calibri" panose="020F0502020204030204" pitchFamily="34" charset="0"/>
              <a:ea typeface="SimSun" panose="02010600030101010101" pitchFamily="2" charset="-122"/>
              <a:cs typeface="Times New Roman" panose="02020603050405020304" pitchFamily="18" charset="0"/>
            </a:rPr>
            <a:t>​Market Segmentation: MTN successfully locks down the steadier mid-to-high budget tiers (N11,000-N15,000), while Airtel's user base leans heavily on the lower entry-level spend category (N5,000-N10,000).</a:t>
          </a:r>
        </a:p>
        <a:p>
          <a:pPr marL="0" marR="0">
            <a:lnSpc>
              <a:spcPct val="115000"/>
            </a:lnSpc>
            <a:spcBef>
              <a:spcPts val="0"/>
            </a:spcBef>
            <a:spcAft>
              <a:spcPts val="1000"/>
            </a:spcAft>
          </a:pPr>
          <a:r>
            <a:rPr lang="en-US" sz="1100">
              <a:effectLst/>
              <a:latin typeface="Calibri" panose="020F0502020204030204" pitchFamily="34" charset="0"/>
              <a:ea typeface="SimSun" panose="02010600030101010101" pitchFamily="2" charset="-122"/>
              <a:cs typeface="Times New Roman" panose="02020603050405020304" pitchFamily="18" charset="0"/>
            </a:rPr>
            <a:t>​Macro Wealth Risk: If users redirected their data budgets into a 10% yield investment for 2 years, the total future compounding wealth belongs to users who are actively planning to desert their current carrier.</a:t>
          </a:r>
        </a:p>
        <a:p>
          <a:pPr marL="0" marR="0">
            <a:lnSpc>
              <a:spcPct val="115000"/>
            </a:lnSpc>
            <a:spcBef>
              <a:spcPts val="0"/>
            </a:spcBef>
            <a:spcAft>
              <a:spcPts val="1000"/>
            </a:spcAft>
          </a:pPr>
          <a:r>
            <a:rPr lang="en-US" sz="1100">
              <a:effectLst/>
              <a:latin typeface="Calibri" panose="020F0502020204030204" pitchFamily="34" charset="0"/>
              <a:ea typeface="SimSun" panose="02010600030101010101" pitchFamily="2" charset="-122"/>
              <a:cs typeface="Times New Roman" panose="02020603050405020304" pitchFamily="18" charset="0"/>
            </a:rPr>
            <a:t>​Local Infrastructure Trumps Brand Name: The heatmap shows that even when users perceive a network as "Reliable" on a national level, persistent local blackouts will still force them to consider alternative providers.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8.524390162034" createdVersion="7" refreshedVersion="7" minRefreshableVersion="3" recordCount="12" xr:uid="{00000000-000A-0000-FFFF-FFFF06000000}">
  <cacheSource type="worksheet">
    <worksheetSource ref="A1:L13" sheet="RED VS YELLOW"/>
  </cacheSource>
  <cacheFields count="11">
    <cacheField name="Timestamp" numFmtId="0">
      <sharedItems/>
    </cacheField>
    <cacheField name="Username" numFmtId="0">
      <sharedItems/>
    </cacheField>
    <cacheField name="What's your primary network provider" numFmtId="0">
      <sharedItems count="3">
        <s v="Airtel"/>
        <s v="Mtn"/>
        <s v="Others"/>
      </sharedItems>
    </cacheField>
    <cacheField name="How much do you spend on data monthly?" numFmtId="0">
      <sharedItems count="3">
        <s v="11,000 - 15,000"/>
        <s v="5,000 - 10,000"/>
        <s v="16,000 - 25,000"/>
      </sharedItems>
    </cacheField>
    <cacheField name="How often do you experience network issues?" numFmtId="0">
      <sharedItems count="2">
        <s v="AlwaysðŸ˜¤"/>
        <s v="Rarely"/>
      </sharedItems>
    </cacheField>
    <cacheField name="What network do you believe is most reliable in your area?" numFmtId="0">
      <sharedItems count="3">
        <s v="Mtn"/>
        <s v="Other"/>
        <s v="Airtel"/>
      </sharedItems>
    </cacheField>
    <cacheField name="How likely are you to switch allegiances?" numFmtId="0">
      <sharedItems count="3">
        <s v="Not Likely"/>
        <s v="In Consideration"/>
        <s v="Likely"/>
      </sharedItems>
    </cacheField>
    <cacheField name="Monthly Savings" numFmtId="0">
      <sharedItems containsSemiMixedTypes="0" containsString="0" containsNumber="1" containsInteger="1" minValue="7500" maxValue="20500"/>
    </cacheField>
    <cacheField name="Future Value 2 years" numFmtId="8">
      <sharedItems containsSemiMixedTypes="0" containsString="0" containsNumber="1" minValue="198351.86523800314" maxValue="542161.76498387521"/>
    </cacheField>
    <cacheField name="Present Value 2 years" numFmtId="8">
      <sharedItems containsSemiMixedTypes="0" containsString="0" containsNumber="1" minValue="162531.41125728397" maxValue="444252.52410324285"/>
    </cacheField>
    <cacheField name="Monthly savings for 1M goal" numFmtId="8">
      <sharedItems containsSemiMixedTypes="0" containsString="0" containsNumber="1" minValue="-37811.593004183167" maxValue="-37811.59300418316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
  <r>
    <s v="2026/04/25 2:06:44 PM GMT+1"/>
    <s v="koladefas02@gmail.com"/>
    <x v="0"/>
    <x v="0"/>
    <x v="0"/>
    <x v="0"/>
    <x v="0"/>
    <n v="13000"/>
    <n v="343809.89974587213"/>
    <n v="281721.11284595891"/>
    <n v="-37811.593004183167"/>
  </r>
  <r>
    <s v="2026/04/29 9:08:58 AM GMT+1"/>
    <s v="e.olatunji318@gmail.com"/>
    <x v="1"/>
    <x v="0"/>
    <x v="0"/>
    <x v="0"/>
    <x v="1"/>
    <n v="13000"/>
    <n v="343809.89974587213"/>
    <n v="281721.11284595891"/>
    <n v="-37811.593004183167"/>
  </r>
  <r>
    <s v="2026/04/29 9:55:15 AM GMT+1"/>
    <s v="victoryoshomegie2002@gmail.com"/>
    <x v="1"/>
    <x v="1"/>
    <x v="0"/>
    <x v="0"/>
    <x v="0"/>
    <n v="7500"/>
    <n v="198351.86523800314"/>
    <n v="162531.41125728397"/>
    <n v="-37811.593004183167"/>
  </r>
  <r>
    <s v="2026/04/29 9:59:22 AM GMT+1"/>
    <s v="edwardadakole10@gmail.com"/>
    <x v="1"/>
    <x v="0"/>
    <x v="0"/>
    <x v="1"/>
    <x v="2"/>
    <n v="13000"/>
    <n v="343809.89974587213"/>
    <n v="281721.11284595891"/>
    <n v="-37811.593004183167"/>
  </r>
  <r>
    <s v="2026/04/29 3:01:19 PM GMT+1"/>
    <s v="ezefavourite007@gmail.com"/>
    <x v="0"/>
    <x v="1"/>
    <x v="1"/>
    <x v="2"/>
    <x v="0"/>
    <n v="7500"/>
    <n v="198351.86523800314"/>
    <n v="162531.41125728397"/>
    <n v="-37811.593004183167"/>
  </r>
  <r>
    <s v="2026/04/29 3:11:19 PM GMT+1"/>
    <s v="dnwankwo40@gmail.com"/>
    <x v="1"/>
    <x v="0"/>
    <x v="0"/>
    <x v="1"/>
    <x v="1"/>
    <n v="13000"/>
    <n v="343809.89974587213"/>
    <n v="281721.11284595891"/>
    <n v="-37811.593004183167"/>
  </r>
  <r>
    <s v="2026/04/29 3:11:44 PM GMT+1"/>
    <s v="azemhewisdom@gmail.com"/>
    <x v="0"/>
    <x v="1"/>
    <x v="0"/>
    <x v="0"/>
    <x v="2"/>
    <n v="7500"/>
    <n v="198351.86523800314"/>
    <n v="162531.41125728397"/>
    <n v="-37811.593004183167"/>
  </r>
  <r>
    <s v="2026/04/29 3:13:41 PM GMT+1"/>
    <s v="liftedjonah800@gmail.com"/>
    <x v="0"/>
    <x v="2"/>
    <x v="1"/>
    <x v="0"/>
    <x v="0"/>
    <n v="20500"/>
    <n v="542161.76498387521"/>
    <n v="444252.52410324285"/>
    <n v="-37811.593004183167"/>
  </r>
  <r>
    <s v="2026/04/29 3:25:10 PM GMT+1"/>
    <s v="prospereze01@gmail.com"/>
    <x v="0"/>
    <x v="0"/>
    <x v="0"/>
    <x v="2"/>
    <x v="1"/>
    <n v="13000"/>
    <n v="343809.89974587213"/>
    <n v="281721.11284595891"/>
    <n v="-37811.593004183167"/>
  </r>
  <r>
    <s v="2026/04/29 4:58:59 PM GMT+1"/>
    <s v="francafrancis2002@gmail.com"/>
    <x v="2"/>
    <x v="2"/>
    <x v="0"/>
    <x v="1"/>
    <x v="1"/>
    <n v="20500"/>
    <n v="542161.76498387521"/>
    <n v="444252.52410324285"/>
    <n v="-37811.593004183167"/>
  </r>
  <r>
    <s v="2026/04/29 7:30:58 PM GMT+1"/>
    <s v="favourakhile234@gmail.com"/>
    <x v="0"/>
    <x v="1"/>
    <x v="0"/>
    <x v="2"/>
    <x v="2"/>
    <n v="7500"/>
    <n v="198351.86523800314"/>
    <n v="162531.41125728397"/>
    <n v="-37811.593004183167"/>
  </r>
  <r>
    <s v="2026/04/29 9:28:29 PM GMT+1"/>
    <s v="uruncleswife67@gmail.com"/>
    <x v="1"/>
    <x v="2"/>
    <x v="0"/>
    <x v="2"/>
    <x v="0"/>
    <n v="20500"/>
    <n v="542161.76498387521"/>
    <n v="444252.52410324285"/>
    <n v="-37811.593004183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3" rowHeaderCaption="Primary network Provider" colHeaderCaption="Reliable network in Area">
  <location ref="A1:E6" firstHeaderRow="1" firstDataRow="2" firstDataCol="1"/>
  <pivotFields count="11">
    <pivotField compact="0" showAll="0"/>
    <pivotField dataField="1" compact="0" showAll="0"/>
    <pivotField axis="axisRow" compact="0" showAll="0">
      <items count="4">
        <item x="0"/>
        <item x="1"/>
        <item x="2"/>
        <item t="default"/>
      </items>
    </pivotField>
    <pivotField compact="0" showAll="0"/>
    <pivotField compact="0" showAll="0"/>
    <pivotField axis="axisCol" compact="0" showAll="0">
      <items count="4">
        <item x="2"/>
        <item x="0"/>
        <item x="1"/>
        <item t="default"/>
      </items>
    </pivotField>
    <pivotField compact="0" showAll="0"/>
    <pivotField compact="0" showAll="0"/>
    <pivotField compact="0" numFmtId="8" showAll="0"/>
    <pivotField compact="0" numFmtId="8" showAll="0"/>
    <pivotField compact="0" numFmtId="8" showAll="0"/>
  </pivotFields>
  <rowFields count="1">
    <field x="2"/>
  </rowFields>
  <rowItems count="4">
    <i>
      <x/>
    </i>
    <i>
      <x v="1"/>
    </i>
    <i>
      <x v="2"/>
    </i>
    <i t="grand">
      <x/>
    </i>
  </rowItems>
  <colFields count="1">
    <field x="5"/>
  </colFields>
  <colItems count="4">
    <i>
      <x/>
    </i>
    <i>
      <x v="1"/>
    </i>
    <i>
      <x v="2"/>
    </i>
    <i t="grand">
      <x/>
    </i>
  </colItems>
  <dataFields count="1">
    <dataField name="Brand Choice vs Network Reliability" fld="1" subtotal="count" baseField="0" baseItem="0"/>
  </dataFields>
  <chartFormats count="3">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10">
  <location ref="A1:E6" firstHeaderRow="1" firstDataRow="2" firstDataCol="1"/>
  <pivotFields count="11">
    <pivotField compact="0" showAll="0"/>
    <pivotField dataField="1" compact="0" showAll="0"/>
    <pivotField axis="axisRow" compact="0" showAll="0">
      <items count="4">
        <item x="0"/>
        <item x="1"/>
        <item x="2"/>
        <item t="default"/>
      </items>
    </pivotField>
    <pivotField axis="axisCol" compact="0" showAll="0">
      <items count="4">
        <item x="0"/>
        <item x="2"/>
        <item x="1"/>
        <item t="default"/>
      </items>
    </pivotField>
    <pivotField compact="0" showAll="0">
      <items count="3">
        <item x="0"/>
        <item x="1"/>
        <item t="default"/>
      </items>
    </pivotField>
    <pivotField compact="0" showAll="0">
      <items count="4">
        <item x="2"/>
        <item x="0"/>
        <item x="1"/>
        <item t="default"/>
      </items>
    </pivotField>
    <pivotField compact="0" showAll="0">
      <items count="4">
        <item x="1"/>
        <item x="2"/>
        <item x="0"/>
        <item t="default"/>
      </items>
    </pivotField>
    <pivotField compact="0" showAll="0"/>
    <pivotField compact="0" numFmtId="8" showAll="0"/>
    <pivotField compact="0" numFmtId="8" showAll="0"/>
    <pivotField compact="0" numFmtId="8" showAll="0"/>
  </pivotFields>
  <rowFields count="1">
    <field x="2"/>
  </rowFields>
  <rowItems count="4">
    <i>
      <x/>
    </i>
    <i>
      <x v="1"/>
    </i>
    <i>
      <x v="2"/>
    </i>
    <i t="grand">
      <x/>
    </i>
  </rowItems>
  <colFields count="1">
    <field x="3"/>
  </colFields>
  <colItems count="4">
    <i>
      <x/>
    </i>
    <i>
      <x v="1"/>
    </i>
    <i>
      <x v="2"/>
    </i>
    <i t="grand">
      <x/>
    </i>
  </colItems>
  <dataFields count="1">
    <dataField name="Brand Choice vs Monthly Spending" fld="1" subtotal="count" baseField="0" baseItem="0"/>
  </dataFields>
  <chartFormats count="4">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2">
          <reference field="4294967294" count="1" selected="0">
            <x v="0"/>
          </reference>
          <reference field="3" count="1" selected="0">
            <x v="1"/>
          </reference>
        </references>
      </pivotArea>
    </chartFormat>
    <chartFormat chart="8" format="11" series="1">
      <pivotArea type="data" outline="0" fieldPosition="0">
        <references count="2">
          <reference field="4294967294" count="1" selected="0">
            <x v="0"/>
          </reference>
          <reference field="3" count="1" selected="0">
            <x v="2"/>
          </reference>
        </references>
      </pivotArea>
    </chartFormat>
    <chartFormat chart="8" format="12"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4"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14">
  <location ref="A1:E5" firstHeaderRow="1" firstDataRow="2" firstDataCol="1"/>
  <pivotFields count="11">
    <pivotField compact="0" showAll="0"/>
    <pivotField dataField="1" compact="0" showAll="0"/>
    <pivotField compact="0" showAll="0">
      <items count="4">
        <item x="0"/>
        <item x="1"/>
        <item x="2"/>
        <item t="default"/>
      </items>
    </pivotField>
    <pivotField compact="0" showAll="0"/>
    <pivotField axis="axisRow" compact="0" showAll="0">
      <items count="3">
        <item x="0"/>
        <item x="1"/>
        <item t="default"/>
      </items>
    </pivotField>
    <pivotField compact="0" showAll="0">
      <items count="4">
        <item x="2"/>
        <item x="0"/>
        <item x="1"/>
        <item t="default"/>
      </items>
    </pivotField>
    <pivotField axis="axisCol" compact="0" showAll="0">
      <items count="4">
        <item x="1"/>
        <item x="2"/>
        <item x="0"/>
        <item t="default"/>
      </items>
    </pivotField>
    <pivotField compact="0" showAll="0"/>
    <pivotField compact="0" numFmtId="8" showAll="0"/>
    <pivotField compact="0" numFmtId="8" showAll="0"/>
    <pivotField compact="0" numFmtId="8" showAll="0"/>
  </pivotFields>
  <rowFields count="1">
    <field x="4"/>
  </rowFields>
  <rowItems count="3">
    <i>
      <x/>
    </i>
    <i>
      <x v="1"/>
    </i>
    <i t="grand">
      <x/>
    </i>
  </rowItems>
  <colFields count="1">
    <field x="6"/>
  </colFields>
  <colItems count="4">
    <i>
      <x/>
    </i>
    <i>
      <x v="1"/>
    </i>
    <i>
      <x v="2"/>
    </i>
    <i t="grand">
      <x/>
    </i>
  </colItems>
  <dataFields count="1">
    <dataField name="Network Issue frequency vs Switching Likelihood" fld="1" subtotal="count" baseField="0" baseItem="0"/>
  </dataFields>
  <chartFormats count="4">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2">
          <reference field="4294967294" count="1" selected="0">
            <x v="0"/>
          </reference>
          <reference field="6" count="1" selected="0">
            <x v="1"/>
          </reference>
        </references>
      </pivotArea>
    </chartFormat>
    <chartFormat chart="13" format="6" series="1">
      <pivotArea type="data" outline="0" fieldPosition="0">
        <references count="2">
          <reference field="4294967294" count="1" selected="0">
            <x v="0"/>
          </reference>
          <reference field="6" count="1" selected="0">
            <x v="2"/>
          </reference>
        </references>
      </pivotArea>
    </chartFormat>
    <chartFormat chart="13" format="7"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5"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18">
  <location ref="A1:E5" firstHeaderRow="1" firstDataRow="2" firstDataCol="1"/>
  <pivotFields count="11">
    <pivotField compact="0" showAll="0"/>
    <pivotField dataField="1" compact="0" showAll="0"/>
    <pivotField compact="0" showAll="0">
      <items count="4">
        <item x="0"/>
        <item x="1"/>
        <item x="2"/>
        <item t="default"/>
      </items>
    </pivotField>
    <pivotField axis="axisCol" compact="0" showAll="0">
      <items count="4">
        <item x="0"/>
        <item x="2"/>
        <item x="1"/>
        <item t="default"/>
      </items>
    </pivotField>
    <pivotField axis="axisRow" compact="0" showAll="0">
      <items count="3">
        <item x="0"/>
        <item x="1"/>
        <item t="default"/>
      </items>
    </pivotField>
    <pivotField compact="0" showAll="0">
      <items count="4">
        <item x="2"/>
        <item x="0"/>
        <item x="1"/>
        <item t="default"/>
      </items>
    </pivotField>
    <pivotField compact="0" showAll="0">
      <items count="4">
        <item x="1"/>
        <item x="2"/>
        <item x="0"/>
        <item t="default"/>
      </items>
    </pivotField>
    <pivotField compact="0" showAll="0"/>
    <pivotField compact="0" numFmtId="8" showAll="0"/>
    <pivotField compact="0" numFmtId="8" showAll="0"/>
    <pivotField compact="0" numFmtId="8" showAll="0"/>
  </pivotFields>
  <rowFields count="1">
    <field x="4"/>
  </rowFields>
  <rowItems count="3">
    <i>
      <x/>
    </i>
    <i>
      <x v="1"/>
    </i>
    <i t="grand">
      <x/>
    </i>
  </rowItems>
  <colFields count="1">
    <field x="3"/>
  </colFields>
  <colItems count="4">
    <i>
      <x/>
    </i>
    <i>
      <x v="1"/>
    </i>
    <i>
      <x v="2"/>
    </i>
    <i t="grand">
      <x/>
    </i>
  </colItems>
  <dataFields count="1">
    <dataField name="Network Issue Frequency vs Monthly Spending" fld="1" subtotal="count" baseField="0" baseItem="0"/>
  </dataFields>
  <chartFormats count="9">
    <chartFormat chart="17" format="15" series="1">
      <pivotArea type="data" outline="0" fieldPosition="0">
        <references count="2">
          <reference field="4294967294" count="1" selected="0">
            <x v="0"/>
          </reference>
          <reference field="3" count="1" selected="0">
            <x v="0"/>
          </reference>
        </references>
      </pivotArea>
    </chartFormat>
    <chartFormat chart="17" format="19" series="1">
      <pivotArea type="data" outline="0" fieldPosition="0">
        <references count="2">
          <reference field="4294967294" count="1" selected="0">
            <x v="0"/>
          </reference>
          <reference field="3" count="1" selected="0">
            <x v="1"/>
          </reference>
        </references>
      </pivotArea>
    </chartFormat>
    <chartFormat chart="17" format="23" series="1">
      <pivotArea type="data" outline="0" fieldPosition="0">
        <references count="2">
          <reference field="4294967294" count="1" selected="0">
            <x v="0"/>
          </reference>
          <reference field="3" count="1" selected="0">
            <x v="2"/>
          </reference>
        </references>
      </pivotArea>
    </chartFormat>
    <chartFormat chart="17" format="27">
      <pivotArea type="data" outline="0" fieldPosition="0">
        <references count="3">
          <reference field="4294967294" count="1" selected="0">
            <x v="0"/>
          </reference>
          <reference field="3" count="1" selected="0">
            <x v="0"/>
          </reference>
          <reference field="4" count="1" selected="0">
            <x v="0"/>
          </reference>
        </references>
      </pivotArea>
    </chartFormat>
    <chartFormat chart="17" format="28">
      <pivotArea type="data" outline="0" fieldPosition="0">
        <references count="3">
          <reference field="4294967294" count="1" selected="0">
            <x v="0"/>
          </reference>
          <reference field="3" count="1" selected="0">
            <x v="0"/>
          </reference>
          <reference field="4" count="1" selected="0">
            <x v="1"/>
          </reference>
        </references>
      </pivotArea>
    </chartFormat>
    <chartFormat chart="17" format="29">
      <pivotArea type="data" outline="0" fieldPosition="0">
        <references count="3">
          <reference field="4294967294" count="1" selected="0">
            <x v="0"/>
          </reference>
          <reference field="3" count="1" selected="0">
            <x v="1"/>
          </reference>
          <reference field="4" count="1" selected="0">
            <x v="0"/>
          </reference>
        </references>
      </pivotArea>
    </chartFormat>
    <chartFormat chart="17" format="30">
      <pivotArea type="data" outline="0" fieldPosition="0">
        <references count="3">
          <reference field="4294967294" count="1" selected="0">
            <x v="0"/>
          </reference>
          <reference field="3" count="1" selected="0">
            <x v="1"/>
          </reference>
          <reference field="4" count="1" selected="0">
            <x v="1"/>
          </reference>
        </references>
      </pivotArea>
    </chartFormat>
    <chartFormat chart="17" format="31">
      <pivotArea type="data" outline="0" fieldPosition="0">
        <references count="3">
          <reference field="4294967294" count="1" selected="0">
            <x v="0"/>
          </reference>
          <reference field="3" count="1" selected="0">
            <x v="2"/>
          </reference>
          <reference field="4" count="1" selected="0">
            <x v="0"/>
          </reference>
        </references>
      </pivotArea>
    </chartFormat>
    <chartFormat chart="17" format="32">
      <pivotArea type="data" outline="0" fieldPosition="0">
        <references count="3">
          <reference field="4294967294" count="1" selected="0">
            <x v="0"/>
          </reference>
          <reference field="3" count="1" selected="0">
            <x v="2"/>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6"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22">
  <location ref="A1:E6" firstHeaderRow="1" firstDataRow="2" firstDataCol="1"/>
  <pivotFields count="11">
    <pivotField compact="0" showAll="0"/>
    <pivotField dataField="1" compact="0" showAll="0"/>
    <pivotField compact="0" showAll="0">
      <items count="4">
        <item x="0"/>
        <item x="1"/>
        <item x="2"/>
        <item t="default"/>
      </items>
    </pivotField>
    <pivotField axis="axisCol" compact="0" showAll="0">
      <items count="4">
        <item x="0"/>
        <item x="2"/>
        <item x="1"/>
        <item t="default"/>
      </items>
    </pivotField>
    <pivotField compact="0" showAll="0">
      <items count="3">
        <item x="0"/>
        <item x="1"/>
        <item t="default"/>
      </items>
    </pivotField>
    <pivotField compact="0" showAll="0">
      <items count="4">
        <item x="2"/>
        <item x="0"/>
        <item x="1"/>
        <item t="default"/>
      </items>
    </pivotField>
    <pivotField axis="axisRow" compact="0" showAll="0">
      <items count="4">
        <item x="1"/>
        <item x="2"/>
        <item x="0"/>
        <item t="default"/>
      </items>
    </pivotField>
    <pivotField compact="0" showAll="0"/>
    <pivotField compact="0" numFmtId="8" showAll="0"/>
    <pivotField compact="0" numFmtId="8" showAll="0"/>
    <pivotField compact="0" numFmtId="8" showAll="0"/>
  </pivotFields>
  <rowFields count="1">
    <field x="6"/>
  </rowFields>
  <rowItems count="4">
    <i>
      <x/>
    </i>
    <i>
      <x v="1"/>
    </i>
    <i>
      <x v="2"/>
    </i>
    <i t="grand">
      <x/>
    </i>
  </rowItems>
  <colFields count="1">
    <field x="3"/>
  </colFields>
  <colItems count="4">
    <i>
      <x/>
    </i>
    <i>
      <x v="1"/>
    </i>
    <i>
      <x v="2"/>
    </i>
    <i t="grand">
      <x/>
    </i>
  </colItems>
  <dataFields count="1">
    <dataField name="Monthly Spend vs Switching Likelihood" fld="1" subtotal="count" baseField="0" baseItem="0"/>
  </dataFields>
  <chartFormats count="15">
    <chartFormat chart="21" format="10" series="1">
      <pivotArea type="data" outline="0" fieldPosition="0">
        <references count="1">
          <reference field="3" count="1" selected="0">
            <x v="0"/>
          </reference>
        </references>
      </pivotArea>
    </chartFormat>
    <chartFormat chart="21" format="11" series="1">
      <pivotArea type="data" outline="0" fieldPosition="0">
        <references count="1">
          <reference field="3" count="1" selected="0">
            <x v="1"/>
          </reference>
        </references>
      </pivotArea>
    </chartFormat>
    <chartFormat chart="21" format="12" series="1">
      <pivotArea type="data" outline="0" fieldPosition="0">
        <references count="1">
          <reference field="3" count="1" selected="0">
            <x v="2"/>
          </reference>
        </references>
      </pivotArea>
    </chartFormat>
    <chartFormat chart="21" format="13" series="1">
      <pivotArea type="data" outline="0" fieldPosition="0">
        <references count="2">
          <reference field="4294967294" count="1" selected="0">
            <x v="0"/>
          </reference>
          <reference field="3" count="1" selected="0">
            <x v="0"/>
          </reference>
        </references>
      </pivotArea>
    </chartFormat>
    <chartFormat chart="21" format="14">
      <pivotArea type="data" outline="0" fieldPosition="0">
        <references count="3">
          <reference field="4294967294" count="1" selected="0">
            <x v="0"/>
          </reference>
          <reference field="3" count="1" selected="0">
            <x v="0"/>
          </reference>
          <reference field="6" count="1" selected="0">
            <x v="0"/>
          </reference>
        </references>
      </pivotArea>
    </chartFormat>
    <chartFormat chart="21" format="15">
      <pivotArea type="data" outline="0" fieldPosition="0">
        <references count="3">
          <reference field="4294967294" count="1" selected="0">
            <x v="0"/>
          </reference>
          <reference field="3" count="1" selected="0">
            <x v="0"/>
          </reference>
          <reference field="6" count="1" selected="0">
            <x v="1"/>
          </reference>
        </references>
      </pivotArea>
    </chartFormat>
    <chartFormat chart="21" format="16">
      <pivotArea type="data" outline="0" fieldPosition="0">
        <references count="3">
          <reference field="4294967294" count="1" selected="0">
            <x v="0"/>
          </reference>
          <reference field="3" count="1" selected="0">
            <x v="0"/>
          </reference>
          <reference field="6" count="1" selected="0">
            <x v="2"/>
          </reference>
        </references>
      </pivotArea>
    </chartFormat>
    <chartFormat chart="21" format="17" series="1">
      <pivotArea type="data" outline="0" fieldPosition="0">
        <references count="2">
          <reference field="4294967294" count="1" selected="0">
            <x v="0"/>
          </reference>
          <reference field="3" count="1" selected="0">
            <x v="1"/>
          </reference>
        </references>
      </pivotArea>
    </chartFormat>
    <chartFormat chart="21" format="18">
      <pivotArea type="data" outline="0" fieldPosition="0">
        <references count="3">
          <reference field="4294967294" count="1" selected="0">
            <x v="0"/>
          </reference>
          <reference field="3" count="1" selected="0">
            <x v="1"/>
          </reference>
          <reference field="6" count="1" selected="0">
            <x v="0"/>
          </reference>
        </references>
      </pivotArea>
    </chartFormat>
    <chartFormat chart="21" format="19">
      <pivotArea type="data" outline="0" fieldPosition="0">
        <references count="3">
          <reference field="4294967294" count="1" selected="0">
            <x v="0"/>
          </reference>
          <reference field="3" count="1" selected="0">
            <x v="1"/>
          </reference>
          <reference field="6" count="1" selected="0">
            <x v="1"/>
          </reference>
        </references>
      </pivotArea>
    </chartFormat>
    <chartFormat chart="21" format="20">
      <pivotArea type="data" outline="0" fieldPosition="0">
        <references count="3">
          <reference field="4294967294" count="1" selected="0">
            <x v="0"/>
          </reference>
          <reference field="3" count="1" selected="0">
            <x v="1"/>
          </reference>
          <reference field="6" count="1" selected="0">
            <x v="2"/>
          </reference>
        </references>
      </pivotArea>
    </chartFormat>
    <chartFormat chart="21" format="21" series="1">
      <pivotArea type="data" outline="0" fieldPosition="0">
        <references count="2">
          <reference field="4294967294" count="1" selected="0">
            <x v="0"/>
          </reference>
          <reference field="3" count="1" selected="0">
            <x v="2"/>
          </reference>
        </references>
      </pivotArea>
    </chartFormat>
    <chartFormat chart="21" format="22">
      <pivotArea type="data" outline="0" fieldPosition="0">
        <references count="3">
          <reference field="4294967294" count="1" selected="0">
            <x v="0"/>
          </reference>
          <reference field="3" count="1" selected="0">
            <x v="2"/>
          </reference>
          <reference field="6" count="1" selected="0">
            <x v="0"/>
          </reference>
        </references>
      </pivotArea>
    </chartFormat>
    <chartFormat chart="21" format="23">
      <pivotArea type="data" outline="0" fieldPosition="0">
        <references count="3">
          <reference field="4294967294" count="1" selected="0">
            <x v="0"/>
          </reference>
          <reference field="3" count="1" selected="0">
            <x v="2"/>
          </reference>
          <reference field="6" count="1" selected="0">
            <x v="1"/>
          </reference>
        </references>
      </pivotArea>
    </chartFormat>
    <chartFormat chart="21" format="24">
      <pivotArea type="data" outline="0" fieldPosition="0">
        <references count="3">
          <reference field="4294967294" count="1" selected="0">
            <x v="0"/>
          </reference>
          <reference field="3" count="1" selected="0">
            <x v="2"/>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7"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26">
  <location ref="A1:E6" firstHeaderRow="1" firstDataRow="2" firstDataCol="1"/>
  <pivotFields count="11">
    <pivotField compact="0" showAll="0"/>
    <pivotField dataField="1" compact="0" showAll="0"/>
    <pivotField axis="axisRow" compact="0" showAll="0">
      <items count="4">
        <item x="0"/>
        <item x="1"/>
        <item x="2"/>
        <item t="default"/>
      </items>
    </pivotField>
    <pivotField compact="0" showAll="0">
      <items count="4">
        <item x="0"/>
        <item x="2"/>
        <item x="1"/>
        <item t="default"/>
      </items>
    </pivotField>
    <pivotField compact="0" showAll="0">
      <items count="3">
        <item x="0"/>
        <item x="1"/>
        <item t="default"/>
      </items>
    </pivotField>
    <pivotField compact="0" showAll="0">
      <items count="4">
        <item x="2"/>
        <item x="0"/>
        <item x="1"/>
        <item t="default"/>
      </items>
    </pivotField>
    <pivotField axis="axisCol" compact="0" showAll="0">
      <items count="4">
        <item x="1"/>
        <item x="2"/>
        <item x="0"/>
        <item t="default"/>
      </items>
    </pivotField>
    <pivotField compact="0" showAll="0"/>
    <pivotField compact="0" numFmtId="8" showAll="0"/>
    <pivotField compact="0" numFmtId="8" showAll="0"/>
    <pivotField compact="0" numFmtId="8" showAll="0"/>
  </pivotFields>
  <rowFields count="1">
    <field x="2"/>
  </rowFields>
  <rowItems count="4">
    <i>
      <x/>
    </i>
    <i>
      <x v="1"/>
    </i>
    <i>
      <x v="2"/>
    </i>
    <i t="grand">
      <x/>
    </i>
  </rowItems>
  <colFields count="1">
    <field x="6"/>
  </colFields>
  <colItems count="4">
    <i>
      <x/>
    </i>
    <i>
      <x v="1"/>
    </i>
    <i>
      <x v="2"/>
    </i>
    <i t="grand">
      <x/>
    </i>
  </colItems>
  <dataFields count="1">
    <dataField name="Brand Choice vs Switching Likelihood" fld="1" subtotal="count" baseField="0" baseItem="0"/>
  </dataFields>
  <chartFormats count="3">
    <chartFormat chart="25" format="6" series="1">
      <pivotArea type="data" outline="0" fieldPosition="0">
        <references count="2">
          <reference field="4294967294" count="1" selected="0">
            <x v="0"/>
          </reference>
          <reference field="6" count="1" selected="0">
            <x v="0"/>
          </reference>
        </references>
      </pivotArea>
    </chartFormat>
    <chartFormat chart="25" format="7" series="1">
      <pivotArea type="data" outline="0" fieldPosition="0">
        <references count="2">
          <reference field="4294967294" count="1" selected="0">
            <x v="0"/>
          </reference>
          <reference field="6" count="1" selected="0">
            <x v="1"/>
          </reference>
        </references>
      </pivotArea>
    </chartFormat>
    <chartFormat chart="25"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79722-03F6-42D8-80C7-2258318577F3}">
  <dimension ref="A1:E6"/>
  <sheetViews>
    <sheetView workbookViewId="0"/>
  </sheetViews>
  <sheetFormatPr defaultRowHeight="15" x14ac:dyDescent="0.25"/>
  <cols>
    <col min="1" max="1" width="38" bestFit="1" customWidth="1"/>
    <col min="2" max="4" width="57" bestFit="1" customWidth="1"/>
    <col min="5" max="5" width="11.28515625" bestFit="1" customWidth="1"/>
  </cols>
  <sheetData>
    <row r="1" spans="1:5" x14ac:dyDescent="0.25">
      <c r="A1" s="3" t="s">
        <v>56</v>
      </c>
      <c r="B1" s="3" t="s">
        <v>5</v>
      </c>
    </row>
    <row r="2" spans="1:5" x14ac:dyDescent="0.25">
      <c r="A2" s="3" t="s">
        <v>2</v>
      </c>
      <c r="B2" t="s">
        <v>9</v>
      </c>
      <c r="C2" t="s">
        <v>12</v>
      </c>
      <c r="D2" t="s">
        <v>22</v>
      </c>
      <c r="E2" t="s">
        <v>47</v>
      </c>
    </row>
    <row r="3" spans="1:5" x14ac:dyDescent="0.25">
      <c r="A3" t="s">
        <v>9</v>
      </c>
      <c r="B3" s="4">
        <v>3</v>
      </c>
      <c r="C3" s="4">
        <v>3</v>
      </c>
      <c r="D3" s="4"/>
      <c r="E3" s="4">
        <v>6</v>
      </c>
    </row>
    <row r="4" spans="1:5" x14ac:dyDescent="0.25">
      <c r="A4" t="s">
        <v>12</v>
      </c>
      <c r="B4" s="4">
        <v>1</v>
      </c>
      <c r="C4" s="4">
        <v>2</v>
      </c>
      <c r="D4" s="4">
        <v>2</v>
      </c>
      <c r="E4" s="4">
        <v>5</v>
      </c>
    </row>
    <row r="5" spans="1:5" x14ac:dyDescent="0.25">
      <c r="A5" t="s">
        <v>38</v>
      </c>
      <c r="B5" s="4"/>
      <c r="C5" s="4"/>
      <c r="D5" s="4">
        <v>1</v>
      </c>
      <c r="E5" s="4">
        <v>1</v>
      </c>
    </row>
    <row r="6" spans="1:5" x14ac:dyDescent="0.25">
      <c r="A6" t="s">
        <v>47</v>
      </c>
      <c r="B6" s="4">
        <v>4</v>
      </c>
      <c r="C6" s="4">
        <v>5</v>
      </c>
      <c r="D6" s="4">
        <v>3</v>
      </c>
      <c r="E6" s="4">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D75E7-EB51-4983-82CF-1C6613AD7ECB}">
  <dimension ref="A1:E6"/>
  <sheetViews>
    <sheetView workbookViewId="0">
      <selection activeCell="B9" sqref="B9"/>
    </sheetView>
  </sheetViews>
  <sheetFormatPr defaultRowHeight="15" x14ac:dyDescent="0.25"/>
  <cols>
    <col min="1" max="1" width="38" bestFit="1" customWidth="1"/>
    <col min="2" max="4" width="41.7109375" bestFit="1" customWidth="1"/>
    <col min="5" max="5" width="11.28515625" bestFit="1" customWidth="1"/>
  </cols>
  <sheetData>
    <row r="1" spans="1:5" x14ac:dyDescent="0.25">
      <c r="A1" s="3" t="s">
        <v>60</v>
      </c>
      <c r="B1" s="3" t="s">
        <v>3</v>
      </c>
    </row>
    <row r="2" spans="1:5" x14ac:dyDescent="0.25">
      <c r="A2" s="3" t="s">
        <v>2</v>
      </c>
      <c r="B2" t="s">
        <v>10</v>
      </c>
      <c r="C2" t="s">
        <v>33</v>
      </c>
      <c r="D2" t="s">
        <v>19</v>
      </c>
      <c r="E2" t="s">
        <v>47</v>
      </c>
    </row>
    <row r="3" spans="1:5" x14ac:dyDescent="0.25">
      <c r="A3" t="s">
        <v>9</v>
      </c>
      <c r="B3" s="4">
        <v>2</v>
      </c>
      <c r="C3" s="4">
        <v>1</v>
      </c>
      <c r="D3" s="4">
        <v>3</v>
      </c>
      <c r="E3" s="4">
        <v>6</v>
      </c>
    </row>
    <row r="4" spans="1:5" x14ac:dyDescent="0.25">
      <c r="A4" t="s">
        <v>12</v>
      </c>
      <c r="B4" s="4">
        <v>3</v>
      </c>
      <c r="C4" s="4">
        <v>1</v>
      </c>
      <c r="D4" s="4">
        <v>1</v>
      </c>
      <c r="E4" s="4">
        <v>5</v>
      </c>
    </row>
    <row r="5" spans="1:5" x14ac:dyDescent="0.25">
      <c r="A5" t="s">
        <v>38</v>
      </c>
      <c r="B5" s="4"/>
      <c r="C5" s="4">
        <v>1</v>
      </c>
      <c r="D5" s="4"/>
      <c r="E5" s="4">
        <v>1</v>
      </c>
    </row>
    <row r="6" spans="1:5" x14ac:dyDescent="0.25">
      <c r="A6" t="s">
        <v>47</v>
      </c>
      <c r="B6" s="4">
        <v>5</v>
      </c>
      <c r="C6" s="4">
        <v>3</v>
      </c>
      <c r="D6" s="4">
        <v>4</v>
      </c>
      <c r="E6" s="4">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282E-BBC5-4E80-ABE8-F67CC0B0755C}">
  <dimension ref="A1:E5"/>
  <sheetViews>
    <sheetView workbookViewId="0">
      <selection activeCell="A10" sqref="A10"/>
    </sheetView>
  </sheetViews>
  <sheetFormatPr defaultRowHeight="15" x14ac:dyDescent="0.25"/>
  <cols>
    <col min="1" max="1" width="45.28515625" bestFit="1" customWidth="1"/>
    <col min="2" max="4" width="40.28515625" bestFit="1" customWidth="1"/>
    <col min="5" max="5" width="11.28515625" bestFit="1" customWidth="1"/>
  </cols>
  <sheetData>
    <row r="1" spans="1:5" x14ac:dyDescent="0.25">
      <c r="A1" s="3" t="s">
        <v>57</v>
      </c>
      <c r="B1" s="3" t="s">
        <v>6</v>
      </c>
    </row>
    <row r="2" spans="1:5" x14ac:dyDescent="0.25">
      <c r="A2" s="3" t="s">
        <v>4</v>
      </c>
      <c r="B2" t="s">
        <v>16</v>
      </c>
      <c r="C2" t="s">
        <v>23</v>
      </c>
      <c r="D2" t="s">
        <v>13</v>
      </c>
      <c r="E2" t="s">
        <v>47</v>
      </c>
    </row>
    <row r="3" spans="1:5" x14ac:dyDescent="0.25">
      <c r="A3" t="s">
        <v>11</v>
      </c>
      <c r="B3" s="4">
        <v>4</v>
      </c>
      <c r="C3" s="4">
        <v>3</v>
      </c>
      <c r="D3" s="4">
        <v>3</v>
      </c>
      <c r="E3" s="4">
        <v>10</v>
      </c>
    </row>
    <row r="4" spans="1:5" x14ac:dyDescent="0.25">
      <c r="A4" t="s">
        <v>26</v>
      </c>
      <c r="B4" s="4"/>
      <c r="C4" s="4"/>
      <c r="D4" s="4">
        <v>2</v>
      </c>
      <c r="E4" s="4">
        <v>2</v>
      </c>
    </row>
    <row r="5" spans="1:5" x14ac:dyDescent="0.25">
      <c r="A5" t="s">
        <v>47</v>
      </c>
      <c r="B5" s="4">
        <v>4</v>
      </c>
      <c r="C5" s="4">
        <v>3</v>
      </c>
      <c r="D5" s="4">
        <v>5</v>
      </c>
      <c r="E5" s="4">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12302-593A-4944-B371-8702BB238390}">
  <dimension ref="A1:E5"/>
  <sheetViews>
    <sheetView workbookViewId="0">
      <selection activeCell="A22" sqref="A22"/>
    </sheetView>
  </sheetViews>
  <sheetFormatPr defaultRowHeight="15" x14ac:dyDescent="0.25"/>
  <cols>
    <col min="1" max="1" width="45.28515625" bestFit="1" customWidth="1"/>
    <col min="2" max="4" width="41.7109375" bestFit="1" customWidth="1"/>
    <col min="5" max="5" width="11.28515625" bestFit="1" customWidth="1"/>
  </cols>
  <sheetData>
    <row r="1" spans="1:5" x14ac:dyDescent="0.25">
      <c r="A1" s="3" t="s">
        <v>61</v>
      </c>
      <c r="B1" s="3" t="s">
        <v>3</v>
      </c>
    </row>
    <row r="2" spans="1:5" x14ac:dyDescent="0.25">
      <c r="A2" s="3" t="s">
        <v>4</v>
      </c>
      <c r="B2" t="s">
        <v>10</v>
      </c>
      <c r="C2" t="s">
        <v>33</v>
      </c>
      <c r="D2" t="s">
        <v>19</v>
      </c>
      <c r="E2" t="s">
        <v>47</v>
      </c>
    </row>
    <row r="3" spans="1:5" x14ac:dyDescent="0.25">
      <c r="A3" t="s">
        <v>11</v>
      </c>
      <c r="B3" s="4">
        <v>5</v>
      </c>
      <c r="C3" s="4">
        <v>2</v>
      </c>
      <c r="D3" s="4">
        <v>3</v>
      </c>
      <c r="E3" s="4">
        <v>10</v>
      </c>
    </row>
    <row r="4" spans="1:5" x14ac:dyDescent="0.25">
      <c r="A4" t="s">
        <v>26</v>
      </c>
      <c r="B4" s="4"/>
      <c r="C4" s="4">
        <v>1</v>
      </c>
      <c r="D4" s="4">
        <v>1</v>
      </c>
      <c r="E4" s="4">
        <v>2</v>
      </c>
    </row>
    <row r="5" spans="1:5" x14ac:dyDescent="0.25">
      <c r="A5" t="s">
        <v>47</v>
      </c>
      <c r="B5" s="4">
        <v>5</v>
      </c>
      <c r="C5" s="4">
        <v>3</v>
      </c>
      <c r="D5" s="4">
        <v>4</v>
      </c>
      <c r="E5" s="4">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3C047-0865-43AA-8443-2230C39CA4CE}">
  <dimension ref="A1:E6"/>
  <sheetViews>
    <sheetView workbookViewId="0">
      <selection activeCell="B13" sqref="B13"/>
    </sheetView>
  </sheetViews>
  <sheetFormatPr defaultRowHeight="15" x14ac:dyDescent="0.25"/>
  <cols>
    <col min="1" max="1" width="40.28515625" bestFit="1" customWidth="1"/>
    <col min="2" max="4" width="41.7109375" bestFit="1" customWidth="1"/>
    <col min="5" max="5" width="11.28515625" bestFit="1" customWidth="1"/>
  </cols>
  <sheetData>
    <row r="1" spans="1:5" x14ac:dyDescent="0.25">
      <c r="A1" s="3" t="s">
        <v>58</v>
      </c>
      <c r="B1" s="3" t="s">
        <v>3</v>
      </c>
    </row>
    <row r="2" spans="1:5" x14ac:dyDescent="0.25">
      <c r="A2" s="3" t="s">
        <v>6</v>
      </c>
      <c r="B2" t="s">
        <v>10</v>
      </c>
      <c r="C2" t="s">
        <v>33</v>
      </c>
      <c r="D2" t="s">
        <v>19</v>
      </c>
      <c r="E2" t="s">
        <v>47</v>
      </c>
    </row>
    <row r="3" spans="1:5" x14ac:dyDescent="0.25">
      <c r="A3" t="s">
        <v>16</v>
      </c>
      <c r="B3" s="4">
        <v>3</v>
      </c>
      <c r="C3" s="4">
        <v>1</v>
      </c>
      <c r="D3" s="4"/>
      <c r="E3" s="4">
        <v>4</v>
      </c>
    </row>
    <row r="4" spans="1:5" x14ac:dyDescent="0.25">
      <c r="A4" t="s">
        <v>23</v>
      </c>
      <c r="B4" s="4">
        <v>1</v>
      </c>
      <c r="C4" s="4"/>
      <c r="D4" s="4">
        <v>2</v>
      </c>
      <c r="E4" s="4">
        <v>3</v>
      </c>
    </row>
    <row r="5" spans="1:5" x14ac:dyDescent="0.25">
      <c r="A5" t="s">
        <v>13</v>
      </c>
      <c r="B5" s="4">
        <v>1</v>
      </c>
      <c r="C5" s="4">
        <v>2</v>
      </c>
      <c r="D5" s="4">
        <v>2</v>
      </c>
      <c r="E5" s="4">
        <v>5</v>
      </c>
    </row>
    <row r="6" spans="1:5" x14ac:dyDescent="0.25">
      <c r="A6" t="s">
        <v>47</v>
      </c>
      <c r="B6" s="4">
        <v>5</v>
      </c>
      <c r="C6" s="4">
        <v>3</v>
      </c>
      <c r="D6" s="4">
        <v>4</v>
      </c>
      <c r="E6" s="4">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B7EC9-65A3-449E-9380-8D919883C3CE}">
  <dimension ref="A1:E6"/>
  <sheetViews>
    <sheetView workbookViewId="0">
      <selection activeCell="C17" sqref="C17"/>
    </sheetView>
  </sheetViews>
  <sheetFormatPr defaultRowHeight="15" x14ac:dyDescent="0.25"/>
  <cols>
    <col min="1" max="1" width="38" bestFit="1" customWidth="1"/>
    <col min="2" max="4" width="40.28515625" bestFit="1" customWidth="1"/>
    <col min="5" max="5" width="11.28515625" bestFit="1" customWidth="1"/>
  </cols>
  <sheetData>
    <row r="1" spans="1:5" x14ac:dyDescent="0.25">
      <c r="A1" s="3" t="s">
        <v>59</v>
      </c>
      <c r="B1" s="3" t="s">
        <v>6</v>
      </c>
    </row>
    <row r="2" spans="1:5" x14ac:dyDescent="0.25">
      <c r="A2" s="3" t="s">
        <v>2</v>
      </c>
      <c r="B2" t="s">
        <v>16</v>
      </c>
      <c r="C2" t="s">
        <v>23</v>
      </c>
      <c r="D2" t="s">
        <v>13</v>
      </c>
      <c r="E2" t="s">
        <v>47</v>
      </c>
    </row>
    <row r="3" spans="1:5" x14ac:dyDescent="0.25">
      <c r="A3" t="s">
        <v>9</v>
      </c>
      <c r="B3" s="4">
        <v>1</v>
      </c>
      <c r="C3" s="4">
        <v>2</v>
      </c>
      <c r="D3" s="4">
        <v>3</v>
      </c>
      <c r="E3" s="4">
        <v>6</v>
      </c>
    </row>
    <row r="4" spans="1:5" x14ac:dyDescent="0.25">
      <c r="A4" t="s">
        <v>12</v>
      </c>
      <c r="B4" s="4">
        <v>2</v>
      </c>
      <c r="C4" s="4">
        <v>1</v>
      </c>
      <c r="D4" s="4">
        <v>2</v>
      </c>
      <c r="E4" s="4">
        <v>5</v>
      </c>
    </row>
    <row r="5" spans="1:5" x14ac:dyDescent="0.25">
      <c r="A5" t="s">
        <v>38</v>
      </c>
      <c r="B5" s="4">
        <v>1</v>
      </c>
      <c r="C5" s="4"/>
      <c r="D5" s="4"/>
      <c r="E5" s="4">
        <v>1</v>
      </c>
    </row>
    <row r="6" spans="1:5" x14ac:dyDescent="0.25">
      <c r="A6" t="s">
        <v>47</v>
      </c>
      <c r="B6" s="4">
        <v>4</v>
      </c>
      <c r="C6" s="4">
        <v>3</v>
      </c>
      <c r="D6" s="4">
        <v>5</v>
      </c>
      <c r="E6" s="4">
        <v>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opLeftCell="A9" zoomScale="88" zoomScaleNormal="88" workbookViewId="0">
      <selection activeCell="O36" sqref="O36"/>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2"/>
  <sheetViews>
    <sheetView tabSelected="1" zoomScale="85" zoomScaleNormal="85" workbookViewId="0">
      <selection activeCell="A22" sqref="A22"/>
    </sheetView>
  </sheetViews>
  <sheetFormatPr defaultRowHeight="15" x14ac:dyDescent="0.25"/>
  <cols>
    <col min="1" max="1" width="27.7109375" bestFit="1" customWidth="1"/>
    <col min="2" max="2" width="32.5703125" bestFit="1" customWidth="1"/>
    <col min="3" max="3" width="35.42578125" bestFit="1" customWidth="1"/>
    <col min="4" max="4" width="39.42578125" bestFit="1" customWidth="1"/>
    <col min="5" max="5" width="43" bestFit="1" customWidth="1"/>
    <col min="6" max="6" width="54.5703125" bestFit="1" customWidth="1"/>
    <col min="7" max="7" width="38" bestFit="1" customWidth="1"/>
    <col min="9" max="9" width="15.5703125" customWidth="1"/>
    <col min="10" max="10" width="19.28515625" bestFit="1" customWidth="1"/>
    <col min="11" max="11" width="20.28515625" bestFit="1" customWidth="1"/>
    <col min="12" max="12" width="26.140625" bestFit="1" customWidth="1"/>
  </cols>
  <sheetData>
    <row r="1" spans="1:12" x14ac:dyDescent="0.25">
      <c r="A1" t="s">
        <v>0</v>
      </c>
      <c r="B1" t="s">
        <v>1</v>
      </c>
      <c r="C1" t="s">
        <v>2</v>
      </c>
      <c r="D1" t="s">
        <v>3</v>
      </c>
      <c r="E1" t="s">
        <v>4</v>
      </c>
      <c r="F1" t="s">
        <v>5</v>
      </c>
      <c r="G1" t="s">
        <v>6</v>
      </c>
      <c r="I1" t="s">
        <v>43</v>
      </c>
      <c r="J1" t="s">
        <v>44</v>
      </c>
      <c r="K1" t="s">
        <v>45</v>
      </c>
      <c r="L1" t="s">
        <v>46</v>
      </c>
    </row>
    <row r="2" spans="1:12" x14ac:dyDescent="0.25">
      <c r="A2" t="s">
        <v>7</v>
      </c>
      <c r="B2" t="s">
        <v>8</v>
      </c>
      <c r="C2" t="s">
        <v>9</v>
      </c>
      <c r="D2" t="s">
        <v>10</v>
      </c>
      <c r="E2" t="s">
        <v>11</v>
      </c>
      <c r="F2" t="s">
        <v>12</v>
      </c>
      <c r="G2" t="s">
        <v>13</v>
      </c>
      <c r="I2">
        <f t="shared" ref="I2:I13" si="0">(_xlfn.NUMBERVALUE(SUBSTITUTE(TRIM(LEFT(D2,FIND("-",D2)-1)),",",""))+_xlfn.NUMBERVALUE(SUBSTITUTE(TRIM(MID(D2,FIND("-",D2)+1,LEN(D2))),",","")))/2</f>
        <v>13000</v>
      </c>
      <c r="J2" s="2">
        <f t="shared" ref="J2:J13" si="1">FV(0.1/12,24,-I2)</f>
        <v>343809.89974587213</v>
      </c>
      <c r="K2" s="2">
        <f t="shared" ref="K2:K13" si="2">PV(0.1/12,24,-I2)</f>
        <v>281721.11284595891</v>
      </c>
      <c r="L2" s="2">
        <f>PMT(0.1/12, 24, 0, 1000000)</f>
        <v>-37811.593004183167</v>
      </c>
    </row>
    <row r="3" spans="1:12" x14ac:dyDescent="0.25">
      <c r="A3" t="s">
        <v>14</v>
      </c>
      <c r="B3" t="s">
        <v>15</v>
      </c>
      <c r="C3" t="s">
        <v>12</v>
      </c>
      <c r="D3" t="s">
        <v>10</v>
      </c>
      <c r="E3" t="s">
        <v>11</v>
      </c>
      <c r="F3" t="s">
        <v>12</v>
      </c>
      <c r="G3" t="s">
        <v>16</v>
      </c>
      <c r="I3">
        <f t="shared" si="0"/>
        <v>13000</v>
      </c>
      <c r="J3" s="2">
        <f t="shared" si="1"/>
        <v>343809.89974587213</v>
      </c>
      <c r="K3" s="2">
        <f t="shared" si="2"/>
        <v>281721.11284595891</v>
      </c>
      <c r="L3" s="2">
        <f t="shared" ref="L3:L13" si="3">PMT(0.1/12, 24, 0, 1000000)</f>
        <v>-37811.593004183167</v>
      </c>
    </row>
    <row r="4" spans="1:12" x14ac:dyDescent="0.25">
      <c r="A4" t="s">
        <v>17</v>
      </c>
      <c r="B4" t="s">
        <v>18</v>
      </c>
      <c r="C4" t="s">
        <v>12</v>
      </c>
      <c r="D4" t="s">
        <v>19</v>
      </c>
      <c r="E4" t="s">
        <v>11</v>
      </c>
      <c r="F4" t="s">
        <v>12</v>
      </c>
      <c r="G4" t="s">
        <v>13</v>
      </c>
      <c r="I4">
        <f t="shared" si="0"/>
        <v>7500</v>
      </c>
      <c r="J4" s="2">
        <f t="shared" si="1"/>
        <v>198351.86523800314</v>
      </c>
      <c r="K4" s="2">
        <f t="shared" si="2"/>
        <v>162531.41125728397</v>
      </c>
      <c r="L4" s="2">
        <f t="shared" si="3"/>
        <v>-37811.593004183167</v>
      </c>
    </row>
    <row r="5" spans="1:12" x14ac:dyDescent="0.25">
      <c r="A5" t="s">
        <v>20</v>
      </c>
      <c r="B5" t="s">
        <v>21</v>
      </c>
      <c r="C5" t="s">
        <v>12</v>
      </c>
      <c r="D5" t="s">
        <v>10</v>
      </c>
      <c r="E5" t="s">
        <v>11</v>
      </c>
      <c r="F5" t="s">
        <v>22</v>
      </c>
      <c r="G5" t="s">
        <v>23</v>
      </c>
      <c r="I5">
        <f t="shared" si="0"/>
        <v>13000</v>
      </c>
      <c r="J5" s="2">
        <f t="shared" si="1"/>
        <v>343809.89974587213</v>
      </c>
      <c r="K5" s="2">
        <f t="shared" si="2"/>
        <v>281721.11284595891</v>
      </c>
      <c r="L5" s="2">
        <f t="shared" si="3"/>
        <v>-37811.593004183167</v>
      </c>
    </row>
    <row r="6" spans="1:12" x14ac:dyDescent="0.25">
      <c r="A6" t="s">
        <v>24</v>
      </c>
      <c r="B6" t="s">
        <v>25</v>
      </c>
      <c r="C6" t="s">
        <v>9</v>
      </c>
      <c r="D6" t="s">
        <v>19</v>
      </c>
      <c r="E6" t="s">
        <v>26</v>
      </c>
      <c r="F6" t="s">
        <v>9</v>
      </c>
      <c r="G6" t="s">
        <v>13</v>
      </c>
      <c r="I6">
        <f t="shared" si="0"/>
        <v>7500</v>
      </c>
      <c r="J6" s="2">
        <f t="shared" si="1"/>
        <v>198351.86523800314</v>
      </c>
      <c r="K6" s="2">
        <f t="shared" si="2"/>
        <v>162531.41125728397</v>
      </c>
      <c r="L6" s="2">
        <f t="shared" si="3"/>
        <v>-37811.593004183167</v>
      </c>
    </row>
    <row r="7" spans="1:12" x14ac:dyDescent="0.25">
      <c r="A7" t="s">
        <v>27</v>
      </c>
      <c r="B7" t="s">
        <v>28</v>
      </c>
      <c r="C7" t="s">
        <v>12</v>
      </c>
      <c r="D7" t="s">
        <v>10</v>
      </c>
      <c r="E7" t="s">
        <v>11</v>
      </c>
      <c r="F7" t="s">
        <v>22</v>
      </c>
      <c r="G7" t="s">
        <v>16</v>
      </c>
      <c r="I7">
        <f t="shared" si="0"/>
        <v>13000</v>
      </c>
      <c r="J7" s="2">
        <f t="shared" si="1"/>
        <v>343809.89974587213</v>
      </c>
      <c r="K7" s="2">
        <f t="shared" si="2"/>
        <v>281721.11284595891</v>
      </c>
      <c r="L7" s="2">
        <f t="shared" si="3"/>
        <v>-37811.593004183167</v>
      </c>
    </row>
    <row r="8" spans="1:12" x14ac:dyDescent="0.25">
      <c r="A8" t="s">
        <v>29</v>
      </c>
      <c r="B8" t="s">
        <v>30</v>
      </c>
      <c r="C8" t="s">
        <v>9</v>
      </c>
      <c r="D8" t="s">
        <v>19</v>
      </c>
      <c r="E8" t="s">
        <v>11</v>
      </c>
      <c r="F8" t="s">
        <v>12</v>
      </c>
      <c r="G8" t="s">
        <v>23</v>
      </c>
      <c r="I8">
        <f t="shared" si="0"/>
        <v>7500</v>
      </c>
      <c r="J8" s="2">
        <f t="shared" si="1"/>
        <v>198351.86523800314</v>
      </c>
      <c r="K8" s="2">
        <f t="shared" si="2"/>
        <v>162531.41125728397</v>
      </c>
      <c r="L8" s="2">
        <f t="shared" si="3"/>
        <v>-37811.593004183167</v>
      </c>
    </row>
    <row r="9" spans="1:12" x14ac:dyDescent="0.25">
      <c r="A9" t="s">
        <v>31</v>
      </c>
      <c r="B9" t="s">
        <v>32</v>
      </c>
      <c r="C9" t="s">
        <v>9</v>
      </c>
      <c r="D9" t="s">
        <v>33</v>
      </c>
      <c r="E9" t="s">
        <v>26</v>
      </c>
      <c r="F9" t="s">
        <v>12</v>
      </c>
      <c r="G9" t="s">
        <v>13</v>
      </c>
      <c r="I9">
        <f t="shared" si="0"/>
        <v>20500</v>
      </c>
      <c r="J9" s="2">
        <f t="shared" si="1"/>
        <v>542161.76498387521</v>
      </c>
      <c r="K9" s="2">
        <f t="shared" si="2"/>
        <v>444252.52410324285</v>
      </c>
      <c r="L9" s="2">
        <f t="shared" si="3"/>
        <v>-37811.593004183167</v>
      </c>
    </row>
    <row r="10" spans="1:12" x14ac:dyDescent="0.25">
      <c r="A10" t="s">
        <v>34</v>
      </c>
      <c r="B10" t="s">
        <v>35</v>
      </c>
      <c r="C10" t="s">
        <v>9</v>
      </c>
      <c r="D10" t="s">
        <v>10</v>
      </c>
      <c r="E10" t="s">
        <v>11</v>
      </c>
      <c r="F10" t="s">
        <v>9</v>
      </c>
      <c r="G10" t="s">
        <v>16</v>
      </c>
      <c r="I10">
        <f t="shared" si="0"/>
        <v>13000</v>
      </c>
      <c r="J10" s="2">
        <f t="shared" si="1"/>
        <v>343809.89974587213</v>
      </c>
      <c r="K10" s="2">
        <f t="shared" si="2"/>
        <v>281721.11284595891</v>
      </c>
      <c r="L10" s="2">
        <f t="shared" si="3"/>
        <v>-37811.593004183167</v>
      </c>
    </row>
    <row r="11" spans="1:12" x14ac:dyDescent="0.25">
      <c r="A11" t="s">
        <v>36</v>
      </c>
      <c r="B11" t="s">
        <v>37</v>
      </c>
      <c r="C11" t="s">
        <v>38</v>
      </c>
      <c r="D11" t="s">
        <v>33</v>
      </c>
      <c r="E11" t="s">
        <v>11</v>
      </c>
      <c r="F11" t="s">
        <v>22</v>
      </c>
      <c r="G11" t="s">
        <v>16</v>
      </c>
      <c r="I11">
        <f t="shared" si="0"/>
        <v>20500</v>
      </c>
      <c r="J11" s="2">
        <f t="shared" si="1"/>
        <v>542161.76498387521</v>
      </c>
      <c r="K11" s="2">
        <f t="shared" si="2"/>
        <v>444252.52410324285</v>
      </c>
      <c r="L11" s="2">
        <f t="shared" si="3"/>
        <v>-37811.593004183167</v>
      </c>
    </row>
    <row r="12" spans="1:12" x14ac:dyDescent="0.25">
      <c r="A12" t="s">
        <v>39</v>
      </c>
      <c r="B12" t="s">
        <v>40</v>
      </c>
      <c r="C12" t="s">
        <v>9</v>
      </c>
      <c r="D12" t="s">
        <v>19</v>
      </c>
      <c r="E12" t="s">
        <v>11</v>
      </c>
      <c r="F12" t="s">
        <v>9</v>
      </c>
      <c r="G12" t="s">
        <v>23</v>
      </c>
      <c r="I12">
        <f t="shared" si="0"/>
        <v>7500</v>
      </c>
      <c r="J12" s="2">
        <f t="shared" si="1"/>
        <v>198351.86523800314</v>
      </c>
      <c r="K12" s="2">
        <f t="shared" si="2"/>
        <v>162531.41125728397</v>
      </c>
      <c r="L12" s="2">
        <f t="shared" si="3"/>
        <v>-37811.593004183167</v>
      </c>
    </row>
    <row r="13" spans="1:12" x14ac:dyDescent="0.25">
      <c r="A13" t="s">
        <v>41</v>
      </c>
      <c r="B13" t="s">
        <v>42</v>
      </c>
      <c r="C13" t="s">
        <v>12</v>
      </c>
      <c r="D13" t="s">
        <v>33</v>
      </c>
      <c r="E13" t="s">
        <v>11</v>
      </c>
      <c r="F13" t="s">
        <v>9</v>
      </c>
      <c r="G13" t="s">
        <v>13</v>
      </c>
      <c r="I13">
        <f t="shared" si="0"/>
        <v>20500</v>
      </c>
      <c r="J13" s="2">
        <f t="shared" si="1"/>
        <v>542161.76498387521</v>
      </c>
      <c r="K13" s="2">
        <f t="shared" si="2"/>
        <v>444252.52410324285</v>
      </c>
      <c r="L13" s="2">
        <f t="shared" si="3"/>
        <v>-37811.593004183167</v>
      </c>
    </row>
    <row r="15" spans="1:12" x14ac:dyDescent="0.25">
      <c r="A15" t="s">
        <v>50</v>
      </c>
      <c r="B15" t="s">
        <v>51</v>
      </c>
      <c r="C15" t="s">
        <v>54</v>
      </c>
      <c r="D15" t="s">
        <v>55</v>
      </c>
    </row>
    <row r="16" spans="1:12" x14ac:dyDescent="0.25">
      <c r="A16" t="s">
        <v>53</v>
      </c>
      <c r="B16" t="s">
        <v>52</v>
      </c>
      <c r="C16" s="1">
        <v>45674</v>
      </c>
      <c r="D16">
        <v>2</v>
      </c>
    </row>
    <row r="18" spans="1:1" x14ac:dyDescent="0.25">
      <c r="A18" t="s">
        <v>48</v>
      </c>
    </row>
    <row r="19" spans="1:1" x14ac:dyDescent="0.25">
      <c r="A19" t="str">
        <f>INDEX(D:D,MATCH("koladefas02@gmail.com",B:B,0))</f>
        <v>11,000 - 15,000</v>
      </c>
    </row>
    <row r="21" spans="1:1" x14ac:dyDescent="0.25">
      <c r="A21" t="s">
        <v>49</v>
      </c>
    </row>
    <row r="22" spans="1:1" x14ac:dyDescent="0.25">
      <c r="A22" t="str">
        <f>_xlfn.XLOOKUP("koladefas02@gmail.com", B:B, C:C)</f>
        <v>Airtel</v>
      </c>
    </row>
  </sheetData>
  <phoneticPr fontId="18" type="noConversion"/>
  <dataValidations count="4">
    <dataValidation type="custom" allowBlank="1" showInputMessage="1" showErrorMessage="1" sqref="A16" xr:uid="{00000000-0002-0000-0200-000000000000}">
      <formula1>AND(LEN(A16)=5, ISERR(VALUE(LEFT(A16,1))), ISNUMBER(VALUE(RIGHT(A16,4))))</formula1>
    </dataValidation>
    <dataValidation type="custom" allowBlank="1" showInputMessage="1" showErrorMessage="1" sqref="B15:B16" xr:uid="{00000000-0002-0000-0200-000001000000}">
      <formula1>AND(LEN(B15)=7, LEFT(B15,3),ISNUMBER(VALUE(RIGHT(B15,4))))</formula1>
    </dataValidation>
    <dataValidation type="custom" allowBlank="1" showInputMessage="1" showErrorMessage="1" sqref="C16" xr:uid="{00000000-0002-0000-0200-000002000000}">
      <formula1>C16&lt;=TODAY()</formula1>
    </dataValidation>
    <dataValidation type="custom" allowBlank="1" showInputMessage="1" showErrorMessage="1" sqref="D16" xr:uid="{00000000-0002-0000-0200-000003000000}">
      <formula1>WEEKDAY(D16,2)&lt;=5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1</vt:lpstr>
      <vt:lpstr>PIVOT 2</vt:lpstr>
      <vt:lpstr>PIVOT 3</vt:lpstr>
      <vt:lpstr>PIVOT 4</vt:lpstr>
      <vt:lpstr>PIVOT 5</vt:lpstr>
      <vt:lpstr>PIVOT 6</vt:lpstr>
      <vt:lpstr>DASHBOARD</vt:lpstr>
      <vt:lpstr>RED VS YELLOW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FASANMI</dc:creator>
  <cp:lastModifiedBy>Oluwakolade</cp:lastModifiedBy>
  <dcterms:created xsi:type="dcterms:W3CDTF">2026-05-16T10:53:08Z</dcterms:created>
  <dcterms:modified xsi:type="dcterms:W3CDTF">2026-06-28T12:09:45Z</dcterms:modified>
</cp:coreProperties>
</file>